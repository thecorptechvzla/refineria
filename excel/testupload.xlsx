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43PLAN DE CARG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<sst xmlns="http://schemas.openxmlformats.org/spreadsheetml/2006/main" count="16" uniqueCount="16">
  <si>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PAQUETE 243</t>
  </si>
  <si>
    <t xml:space="preserve">68 BARRAS</t>
  </si>
  <si>
    <t xml:space="preserve">PLAN DE CARGA</t>
  </si>
  <si>
    <t xml:space="preserve">N</t>
  </si>
  <si>
    <t xml:space="preserve">PESO BRUTO (g)</t>
  </si>
  <si>
    <t xml:space="preserve">LEY Au (‰)</t>
  </si>
  <si>
    <t xml:space="preserve">PESO FINO Au (g)</t>
  </si>
  <si>
    <t xml:space="preserve">PESO FINO ESP. (-1%)</t>
  </si>
  <si>
    <t xml:space="preserve">LEY Ag (‰)</t>
  </si>
  <si>
    <t xml:space="preserve">PESO FINO Ag (g)</t>
  </si>
  <si>
    <t xml:space="preserve">LOTE N°</t>
  </si>
  <si>
    <t xml:space="preserve">LOTE 1</t>
  </si>
  <si>
    <t xml:space="preserve">LOTE 2</t>
  </si>
  <si>
    <t xml:space="preserve">LOTE 3</t>
  </si>
  <si>
    <t xml:space="preserve">LOTE 4</t>
  </si>
  <si>
    <t xml:space="preserve">LOTE 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</si>
</sst>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D9D9D9"/>
      </patternFill>
    </fill>
    <fill>
      <patternFill patternType="solid">
        <fgColor theme="0" tint="-0.15"/>
        <bgColor rgb="FFC0C0C0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7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O83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E24" activeCellId="0" sqref="E24"/>
    </sheetView>
  </sheetViews>
  <sheetFormatPr defaultColWidth="11.22265625" defaultRowHeight="15" zeroHeight="false" outlineLevelRow="0" outlineLevelCol="0"/>
  <cols>
    <col collapsed="false" customWidth="false" hidden="false" outlineLevel="0" max="1" min="1" style="1" width="11.22"/>
    <col collapsed="false" customWidth="true" hidden="false" outlineLevel="0" max="2" min="2" style="1" width="3.45"/>
    <col collapsed="false" customWidth="true" hidden="false" outlineLevel="0" max="3" min="3" style="1" width="12.78"/>
    <col collapsed="false" customWidth="false" hidden="false" outlineLevel="0" max="4" min="4" style="1" width="11.22"/>
    <col collapsed="false" customWidth="true" hidden="false" outlineLevel="0" max="5" min="5" style="1" width="13.56"/>
    <col collapsed="false" customWidth="false" hidden="false" outlineLevel="0" max="6" min="6" style="1" width="11.22"/>
    <col collapsed="false" customWidth="true" hidden="false" outlineLevel="0" max="7" min="7" style="1" width="3.22"/>
    <col collapsed="false" customWidth="true" hidden="false" outlineLevel="0" max="8" min="8" style="1" width="17.44"/>
    <col collapsed="false" customWidth="true" hidden="false" outlineLevel="0" max="9" min="9" style="1" width="11.55"/>
    <col collapsed="false" customWidth="true" hidden="false" outlineLevel="0" max="10" min="10" style="1" width="18.11"/>
    <col collapsed="false" customWidth="true" hidden="false" outlineLevel="0" max="11" min="11" style="1" width="22.44"/>
    <col collapsed="false" customWidth="true" hidden="false" outlineLevel="0" max="12" min="12" style="1" width="11.89"/>
    <col collapsed="false" customWidth="true" hidden="false" outlineLevel="0" max="13" min="13" style="1" width="16.45"/>
    <col collapsed="false" customWidth="false" hidden="false" outlineLevel="0" max="16384" min="14" style="1" width="11.22"/>
  </cols>
  <sheetData>
    <row r="3" customFormat="false" ht="15" hidden="false" customHeight="false" outlineLevel="0" collapsed="false">
      <c r="B3" s="0"/>
      <c r="C3" s="0"/>
      <c r="D3" s="0"/>
      <c r="E3" s="0"/>
      <c r="G3" s="2"/>
      <c r="H3" s="2"/>
      <c r="I3" s="3" t="s">
        <v>0</v>
      </c>
      <c r="J3" s="3"/>
      <c r="K3" s="3"/>
      <c r="L3" s="3"/>
      <c r="M3" s="3"/>
    </row>
    <row r="4" customFormat="false" ht="15" hidden="false" customHeight="false" outlineLevel="0" collapsed="false">
      <c r="B4" s="0"/>
      <c r="C4" s="0"/>
      <c r="D4" s="0"/>
      <c r="E4" s="0"/>
      <c r="G4" s="2"/>
      <c r="H4" s="2"/>
      <c r="I4" s="3" t="s">
        <v>1</v>
      </c>
      <c r="J4" s="3"/>
      <c r="K4" s="3"/>
      <c r="L4" s="3"/>
      <c r="M4" s="3"/>
    </row>
    <row r="5" customFormat="false" ht="15" hidden="false" customHeight="false" outlineLevel="0" collapsed="false">
      <c r="B5" s="0"/>
      <c r="C5" s="0"/>
      <c r="D5" s="0"/>
      <c r="E5" s="0"/>
      <c r="I5" s="4" t="s">
        <v>2</v>
      </c>
      <c r="J5" s="4"/>
      <c r="K5" s="4"/>
      <c r="L5" s="4"/>
      <c r="M5" s="4"/>
    </row>
    <row r="6" customFormat="false" ht="15" hidden="false" customHeight="false" outlineLevel="0" collapsed="false">
      <c r="B6" s="0"/>
      <c r="C6" s="0"/>
      <c r="D6" s="0"/>
      <c r="E6" s="0"/>
    </row>
    <row r="7" customFormat="false" ht="15" hidden="false" customHeight="false" outlineLevel="0" collapsed="false">
      <c r="B7" s="0"/>
      <c r="C7" s="0"/>
      <c r="D7" s="0"/>
      <c r="E7" s="0"/>
      <c r="G7" s="5" t="s">
        <v>3</v>
      </c>
      <c r="H7" s="6" t="s">
        <v>4</v>
      </c>
      <c r="I7" s="6" t="s">
        <v>5</v>
      </c>
      <c r="J7" s="6" t="s">
        <v>6</v>
      </c>
      <c r="K7" s="7" t="s">
        <v>7</v>
      </c>
      <c r="L7" s="6" t="s">
        <v>8</v>
      </c>
      <c r="M7" s="8" t="s">
        <v>9</v>
      </c>
      <c r="N7" s="9" t="s">
        <v>10</v>
      </c>
    </row>
    <row r="8" customFormat="false" ht="15" hidden="false" customHeight="false" outlineLevel="0" collapsed="false">
      <c r="B8" s="0"/>
      <c r="C8" s="0"/>
      <c r="D8" s="0"/>
      <c r="E8" s="0"/>
      <c r="G8" s="10" t="n">
        <v>1</v>
      </c>
      <c r="H8" s="11" t="n">
        <v>2727.2</v>
      </c>
      <c r="I8" s="12" t="n">
        <v>934.1</v>
      </c>
      <c r="J8" s="11" t="n">
        <f aca="false">H8*I8/1000</f>
        <v>2547.47752</v>
      </c>
      <c r="K8" s="13" t="n">
        <f aca="false">J8*0.99</f>
        <v>2522.0027448</v>
      </c>
      <c r="L8" s="12" t="n">
        <v>58.1</v>
      </c>
      <c r="M8" s="14" t="n">
        <f aca="false">H8*L8/1000</f>
        <v>158.45032</v>
      </c>
      <c r="N8" s="15" t="s">
        <v>11</v>
      </c>
    </row>
    <row r="9" customFormat="false" ht="15" hidden="false" customHeight="false" outlineLevel="0" collapsed="false">
      <c r="B9" s="0"/>
      <c r="C9" s="0"/>
      <c r="D9" s="0"/>
      <c r="E9" s="0"/>
      <c r="G9" s="16" t="n">
        <v>2</v>
      </c>
      <c r="H9" s="13" t="n">
        <v>2533.4</v>
      </c>
      <c r="I9" s="17" t="n">
        <v>919.2</v>
      </c>
      <c r="J9" s="13" t="n">
        <f aca="false">H9*I9/1000</f>
        <v>2328.70128</v>
      </c>
      <c r="K9" s="13" t="n">
        <f aca="false">J9*0.99</f>
        <v>2305.4142672</v>
      </c>
      <c r="L9" s="17" t="n">
        <v>67.4</v>
      </c>
      <c r="M9" s="18" t="n">
        <f aca="false">H9*L9/1000</f>
        <v>170.75116</v>
      </c>
      <c r="N9" s="15"/>
    </row>
    <row r="10" customFormat="false" ht="15" hidden="false" customHeight="false" outlineLevel="0" collapsed="false">
      <c r="B10" s="0"/>
      <c r="C10" s="0"/>
      <c r="D10" s="0"/>
      <c r="E10" s="0"/>
      <c r="G10" s="16" t="n">
        <v>3</v>
      </c>
      <c r="H10" s="13" t="n">
        <v>2020.4</v>
      </c>
      <c r="I10" s="17" t="n">
        <v>932.9</v>
      </c>
      <c r="J10" s="13" t="n">
        <f aca="false">H10*I10/1000</f>
        <v>1884.83116</v>
      </c>
      <c r="K10" s="13" t="n">
        <f aca="false">J10*0.99</f>
        <v>1865.9828484</v>
      </c>
      <c r="L10" s="17" t="n">
        <v>56.1</v>
      </c>
      <c r="M10" s="18" t="n">
        <f aca="false">H10*L10/1000</f>
        <v>113.34444</v>
      </c>
      <c r="N10" s="15"/>
    </row>
    <row r="11" customFormat="false" ht="15" hidden="false" customHeight="false" outlineLevel="0" collapsed="false">
      <c r="B11" s="0"/>
      <c r="C11" s="0"/>
      <c r="D11" s="0"/>
      <c r="E11" s="0"/>
      <c r="G11" s="16" t="n">
        <v>4</v>
      </c>
      <c r="H11" s="13" t="n">
        <v>1876.8</v>
      </c>
      <c r="I11" s="17" t="n">
        <v>942.1</v>
      </c>
      <c r="J11" s="13" t="n">
        <f aca="false">H11*I11/1000</f>
        <v>1768.13328</v>
      </c>
      <c r="K11" s="13" t="n">
        <f aca="false">J11*0.99</f>
        <v>1750.4519472</v>
      </c>
      <c r="L11" s="17" t="n">
        <v>49.2</v>
      </c>
      <c r="M11" s="18" t="n">
        <f aca="false">H11*L11/1000</f>
        <v>92.33856</v>
      </c>
      <c r="N11" s="15"/>
    </row>
    <row r="12" customFormat="false" ht="15" hidden="false" customHeight="false" outlineLevel="0" collapsed="false">
      <c r="B12" s="0"/>
      <c r="C12" s="0"/>
      <c r="D12" s="0"/>
      <c r="E12" s="0"/>
      <c r="G12" s="16" t="n">
        <v>5</v>
      </c>
      <c r="H12" s="13" t="n">
        <v>1739.2</v>
      </c>
      <c r="I12" s="17" t="n">
        <v>906.2</v>
      </c>
      <c r="J12" s="13" t="n">
        <f aca="false">H12*I12/1000</f>
        <v>1576.06304</v>
      </c>
      <c r="K12" s="13" t="n">
        <f aca="false">J12*0.99</f>
        <v>1560.3024096</v>
      </c>
      <c r="L12" s="17" t="n">
        <v>74.1</v>
      </c>
      <c r="M12" s="18" t="n">
        <f aca="false">H12*L12/1000</f>
        <v>128.87472</v>
      </c>
      <c r="N12" s="15"/>
    </row>
    <row r="13" customFormat="false" ht="15" hidden="false" customHeight="false" outlineLevel="0" collapsed="false">
      <c r="B13" s="0"/>
      <c r="C13" s="0"/>
      <c r="D13" s="0"/>
      <c r="E13" s="0"/>
      <c r="G13" s="16" t="n">
        <v>6</v>
      </c>
      <c r="H13" s="13" t="n">
        <v>1733.8</v>
      </c>
      <c r="I13" s="17" t="n">
        <v>921.5</v>
      </c>
      <c r="J13" s="13" t="n">
        <f aca="false">H13*I13/1000</f>
        <v>1597.6967</v>
      </c>
      <c r="K13" s="13" t="n">
        <f aca="false">J13*0.99</f>
        <v>1581.719733</v>
      </c>
      <c r="L13" s="17" t="n">
        <v>64.7</v>
      </c>
      <c r="M13" s="18" t="n">
        <f aca="false">H13*L13/1000</f>
        <v>112.17686</v>
      </c>
      <c r="N13" s="15"/>
    </row>
    <row r="14" customFormat="false" ht="15" hidden="false" customHeight="false" outlineLevel="0" collapsed="false">
      <c r="B14" s="0"/>
      <c r="C14" s="0"/>
      <c r="D14" s="0"/>
      <c r="E14" s="0"/>
      <c r="G14" s="16" t="n">
        <v>7</v>
      </c>
      <c r="H14" s="13" t="n">
        <v>1491.2</v>
      </c>
      <c r="I14" s="17" t="n">
        <v>906.8</v>
      </c>
      <c r="J14" s="13" t="n">
        <f aca="false">H14*I14/1000</f>
        <v>1352.22016</v>
      </c>
      <c r="K14" s="13" t="n">
        <f aca="false">J14*0.99</f>
        <v>1338.6979584</v>
      </c>
      <c r="L14" s="17" t="n">
        <v>78.4</v>
      </c>
      <c r="M14" s="18" t="n">
        <f aca="false">H14*L14/1000</f>
        <v>116.91008</v>
      </c>
      <c r="N14" s="15"/>
    </row>
    <row r="15" customFormat="false" ht="15" hidden="false" customHeight="false" outlineLevel="0" collapsed="false">
      <c r="B15" s="0"/>
      <c r="C15" s="0"/>
      <c r="D15" s="0"/>
      <c r="E15" s="0"/>
      <c r="G15" s="16" t="n">
        <v>8</v>
      </c>
      <c r="H15" s="13" t="n">
        <v>1462.8</v>
      </c>
      <c r="I15" s="17" t="n">
        <v>932.9</v>
      </c>
      <c r="J15" s="13" t="n">
        <f aca="false">H15*I15/1000</f>
        <v>1364.64612</v>
      </c>
      <c r="K15" s="13" t="n">
        <f aca="false">J15*0.99</f>
        <v>1350.9996588</v>
      </c>
      <c r="L15" s="17" t="n">
        <v>59.3</v>
      </c>
      <c r="M15" s="18" t="n">
        <f aca="false">H15*L15/1000</f>
        <v>86.74404</v>
      </c>
      <c r="N15" s="15"/>
    </row>
    <row r="16" customFormat="false" ht="15" hidden="false" customHeight="false" outlineLevel="0" collapsed="false">
      <c r="B16" s="0"/>
      <c r="C16" s="0"/>
      <c r="D16" s="0"/>
      <c r="E16" s="0"/>
      <c r="G16" s="16" t="n">
        <v>9</v>
      </c>
      <c r="H16" s="13" t="n">
        <v>1442.8</v>
      </c>
      <c r="I16" s="17" t="n">
        <v>926.2</v>
      </c>
      <c r="J16" s="13" t="n">
        <f aca="false">H16*I16/1000</f>
        <v>1336.32136</v>
      </c>
      <c r="K16" s="13" t="n">
        <f aca="false">J16*0.99</f>
        <v>1322.9581464</v>
      </c>
      <c r="L16" s="17" t="n">
        <v>65.9</v>
      </c>
      <c r="M16" s="18" t="n">
        <f aca="false">H16*L16/1000</f>
        <v>95.08052</v>
      </c>
      <c r="N16" s="15"/>
    </row>
    <row r="17" customFormat="false" ht="15" hidden="false" customHeight="false" outlineLevel="0" collapsed="false">
      <c r="B17" s="0"/>
      <c r="C17" s="0"/>
      <c r="D17" s="0"/>
      <c r="E17" s="0"/>
      <c r="G17" s="16" t="n">
        <v>10</v>
      </c>
      <c r="H17" s="13" t="n">
        <v>1438</v>
      </c>
      <c r="I17" s="17" t="n">
        <v>925</v>
      </c>
      <c r="J17" s="13" t="n">
        <f aca="false">H17*I17/1000</f>
        <v>1330.15</v>
      </c>
      <c r="K17" s="13" t="n">
        <f aca="false">J17*0.99</f>
        <v>1316.8485</v>
      </c>
      <c r="L17" s="17" t="n">
        <v>62.3</v>
      </c>
      <c r="M17" s="18" t="n">
        <f aca="false">H17*L17/1000</f>
        <v>89.5874</v>
      </c>
      <c r="N17" s="15"/>
    </row>
    <row r="18" customFormat="false" ht="15" hidden="false" customHeight="false" outlineLevel="0" collapsed="false">
      <c r="B18" s="0"/>
      <c r="C18" s="0"/>
      <c r="D18" s="0"/>
      <c r="E18" s="0"/>
      <c r="G18" s="19" t="n">
        <v>11</v>
      </c>
      <c r="H18" s="20" t="n">
        <v>1352</v>
      </c>
      <c r="I18" s="21" t="n">
        <v>923.3</v>
      </c>
      <c r="J18" s="20" t="n">
        <f aca="false">H18*I18/1000</f>
        <v>1248.3016</v>
      </c>
      <c r="K18" s="22" t="n">
        <f aca="false">J18*0.99</f>
        <v>1235.818584</v>
      </c>
      <c r="L18" s="21" t="n">
        <v>60.1</v>
      </c>
      <c r="M18" s="23" t="n">
        <f aca="false">H18*L18/1000</f>
        <v>81.2552</v>
      </c>
      <c r="N18" s="15"/>
    </row>
    <row r="19" customFormat="false" ht="15" hidden="false" customHeight="false" outlineLevel="0" collapsed="false">
      <c r="B19" s="0"/>
      <c r="C19" s="0"/>
      <c r="D19" s="0"/>
      <c r="E19" s="0"/>
      <c r="G19" s="24"/>
      <c r="H19" s="25" t="n">
        <f aca="false">SUM(H8:H18)</f>
        <v>19817.6</v>
      </c>
      <c r="I19" s="26"/>
      <c r="J19" s="27" t="n">
        <f aca="false">SUM(J8:J18)</f>
        <v>18334.54222</v>
      </c>
      <c r="K19" s="28" t="n">
        <f aca="false">SUM(K8:K18)</f>
        <v>18151.1967978</v>
      </c>
      <c r="L19" s="29"/>
      <c r="M19" s="30" t="n">
        <f aca="false">SUM(M8:M18)</f>
        <v>1245.5133</v>
      </c>
      <c r="N19" s="15"/>
    </row>
    <row r="20" customFormat="false" ht="15" hidden="false" customHeight="false" outlineLevel="0" collapsed="false">
      <c r="B20" s="0"/>
      <c r="C20" s="0"/>
      <c r="D20" s="0"/>
      <c r="E20" s="0"/>
      <c r="G20" s="31" t="n">
        <v>12</v>
      </c>
      <c r="H20" s="32" t="n">
        <v>1323.8</v>
      </c>
      <c r="I20" s="33" t="n">
        <v>923.7</v>
      </c>
      <c r="J20" s="32" t="n">
        <f aca="false">H20*I20/1000</f>
        <v>1222.79406</v>
      </c>
      <c r="K20" s="32" t="n">
        <f aca="false">J20*0.99</f>
        <v>1210.5661194</v>
      </c>
      <c r="L20" s="33" t="n">
        <v>64.6</v>
      </c>
      <c r="M20" s="34" t="n">
        <f aca="false">H20*L20/1000</f>
        <v>85.51748</v>
      </c>
      <c r="N20" s="35" t="s">
        <v>12</v>
      </c>
    </row>
    <row r="21" customFormat="false" ht="15" hidden="false" customHeight="false" outlineLevel="0" collapsed="false">
      <c r="B21" s="0"/>
      <c r="C21" s="0"/>
      <c r="D21" s="0"/>
      <c r="E21" s="0"/>
      <c r="G21" s="36" t="n">
        <v>13</v>
      </c>
      <c r="H21" s="37" t="n">
        <v>1314</v>
      </c>
      <c r="I21" s="38" t="n">
        <v>928.5</v>
      </c>
      <c r="J21" s="37" t="n">
        <f aca="false">H21*I21/1000</f>
        <v>1220.049</v>
      </c>
      <c r="K21" s="37" t="n">
        <f aca="false">J21*0.99</f>
        <v>1207.84851</v>
      </c>
      <c r="L21" s="38" t="n">
        <v>64.6</v>
      </c>
      <c r="M21" s="39" t="n">
        <f aca="false">H21*L21/1000</f>
        <v>84.8844</v>
      </c>
      <c r="N21" s="35"/>
    </row>
    <row r="22" customFormat="false" ht="15" hidden="false" customHeight="false" outlineLevel="0" collapsed="false">
      <c r="B22" s="0"/>
      <c r="C22" s="0"/>
      <c r="D22" s="0"/>
      <c r="E22" s="0"/>
      <c r="G22" s="36" t="n">
        <v>14</v>
      </c>
      <c r="H22" s="37" t="n">
        <v>1313.2</v>
      </c>
      <c r="I22" s="38" t="n">
        <v>931.7</v>
      </c>
      <c r="J22" s="37" t="n">
        <f aca="false">H22*I22/1000</f>
        <v>1223.50844</v>
      </c>
      <c r="K22" s="37" t="n">
        <f aca="false">J22*0.99</f>
        <v>1211.2733556</v>
      </c>
      <c r="L22" s="38" t="n">
        <v>56.5</v>
      </c>
      <c r="M22" s="39" t="n">
        <f aca="false">H22*L22/1000</f>
        <v>74.1958</v>
      </c>
      <c r="N22" s="35"/>
    </row>
    <row r="23" customFormat="false" ht="15" hidden="false" customHeight="false" outlineLevel="0" collapsed="false">
      <c r="B23" s="0"/>
      <c r="C23" s="0"/>
      <c r="D23" s="0"/>
      <c r="E23" s="0"/>
      <c r="G23" s="36" t="n">
        <v>15</v>
      </c>
      <c r="H23" s="37" t="n">
        <v>1310.4</v>
      </c>
      <c r="I23" s="38" t="n">
        <v>923.6</v>
      </c>
      <c r="J23" s="37" t="n">
        <f aca="false">H23*I23/1000</f>
        <v>1210.28544</v>
      </c>
      <c r="K23" s="37" t="n">
        <f aca="false">J23*0.99</f>
        <v>1198.1825856</v>
      </c>
      <c r="L23" s="38" t="n">
        <v>72</v>
      </c>
      <c r="M23" s="39" t="n">
        <f aca="false">H23*L23/1000</f>
        <v>94.3488</v>
      </c>
      <c r="N23" s="35"/>
    </row>
    <row r="24" customFormat="false" ht="15" hidden="false" customHeight="false" outlineLevel="0" collapsed="false">
      <c r="B24" s="0"/>
      <c r="C24" s="0"/>
      <c r="D24" s="0"/>
      <c r="E24" s="0"/>
      <c r="G24" s="36" t="n">
        <v>16</v>
      </c>
      <c r="H24" s="37" t="n">
        <v>1306.2</v>
      </c>
      <c r="I24" s="38" t="n">
        <v>919.3</v>
      </c>
      <c r="J24" s="37" t="n">
        <f aca="false">H24*I24/1000</f>
        <v>1200.78966</v>
      </c>
      <c r="K24" s="37" t="n">
        <f aca="false">J24*0.99</f>
        <v>1188.7817634</v>
      </c>
      <c r="L24" s="38" t="n">
        <v>61.6</v>
      </c>
      <c r="M24" s="39" t="n">
        <f aca="false">H24*L24/1000</f>
        <v>80.46192</v>
      </c>
      <c r="N24" s="35"/>
    </row>
    <row r="25" customFormat="false" ht="15" hidden="false" customHeight="false" outlineLevel="0" collapsed="false">
      <c r="B25" s="0"/>
      <c r="C25" s="0"/>
      <c r="D25" s="0"/>
      <c r="E25" s="0"/>
      <c r="G25" s="36" t="n">
        <v>17</v>
      </c>
      <c r="H25" s="37" t="n">
        <v>1293.2</v>
      </c>
      <c r="I25" s="38" t="n">
        <v>910.8</v>
      </c>
      <c r="J25" s="37" t="n">
        <f aca="false">H25*I25/1000</f>
        <v>1177.84656</v>
      </c>
      <c r="K25" s="37" t="n">
        <f aca="false">J25*0.99</f>
        <v>1166.0680944</v>
      </c>
      <c r="L25" s="38" t="n">
        <v>75.4</v>
      </c>
      <c r="M25" s="39" t="n">
        <f aca="false">H25*L25/1000</f>
        <v>97.50728</v>
      </c>
      <c r="N25" s="35"/>
    </row>
    <row r="26" customFormat="false" ht="15" hidden="false" customHeight="false" outlineLevel="0" collapsed="false">
      <c r="B26" s="0"/>
      <c r="C26" s="0"/>
      <c r="D26" s="0"/>
      <c r="E26" s="0"/>
      <c r="G26" s="36" t="n">
        <v>18</v>
      </c>
      <c r="H26" s="37" t="n">
        <v>1289.2</v>
      </c>
      <c r="I26" s="38" t="n">
        <v>899</v>
      </c>
      <c r="J26" s="37" t="n">
        <f aca="false">H26*I26/1000</f>
        <v>1158.9908</v>
      </c>
      <c r="K26" s="37" t="n">
        <f aca="false">J26*0.99</f>
        <v>1147.400892</v>
      </c>
      <c r="L26" s="38" t="n">
        <v>83.2</v>
      </c>
      <c r="M26" s="39" t="n">
        <f aca="false">H26*L26/1000</f>
        <v>107.26144</v>
      </c>
      <c r="N26" s="35"/>
    </row>
    <row r="27" customFormat="false" ht="15" hidden="false" customHeight="false" outlineLevel="0" collapsed="false">
      <c r="B27" s="0"/>
      <c r="C27" s="0"/>
      <c r="D27" s="0"/>
      <c r="E27" s="0"/>
      <c r="G27" s="36" t="n">
        <v>19</v>
      </c>
      <c r="H27" s="37" t="n">
        <v>1279.6</v>
      </c>
      <c r="I27" s="38" t="n">
        <v>925.3</v>
      </c>
      <c r="J27" s="37" t="n">
        <f aca="false">H27*I27/1000</f>
        <v>1184.01388</v>
      </c>
      <c r="K27" s="37" t="n">
        <f aca="false">J27*0.99</f>
        <v>1172.1737412</v>
      </c>
      <c r="L27" s="38" t="n">
        <v>65.5</v>
      </c>
      <c r="M27" s="39" t="n">
        <f aca="false">H27*L27/1000</f>
        <v>83.8138</v>
      </c>
      <c r="N27" s="35"/>
    </row>
    <row r="28" customFormat="false" ht="15" hidden="false" customHeight="false" outlineLevel="0" collapsed="false">
      <c r="B28" s="0"/>
      <c r="C28" s="0"/>
      <c r="D28" s="0"/>
      <c r="E28" s="0"/>
      <c r="G28" s="36" t="n">
        <v>20</v>
      </c>
      <c r="H28" s="37" t="n">
        <v>1261.8</v>
      </c>
      <c r="I28" s="38" t="n">
        <v>918.9</v>
      </c>
      <c r="J28" s="37" t="n">
        <f aca="false">H28*I28/1000</f>
        <v>1159.46802</v>
      </c>
      <c r="K28" s="37" t="n">
        <f aca="false">J28*0.99</f>
        <v>1147.8733398</v>
      </c>
      <c r="L28" s="38" t="n">
        <v>70.2</v>
      </c>
      <c r="M28" s="39" t="n">
        <f aca="false">H28*L28/1000</f>
        <v>88.57836</v>
      </c>
      <c r="N28" s="35"/>
    </row>
    <row r="29" customFormat="false" ht="15" hidden="false" customHeight="false" outlineLevel="0" collapsed="false">
      <c r="B29" s="0"/>
      <c r="C29" s="0"/>
      <c r="D29" s="0"/>
      <c r="E29" s="0"/>
      <c r="G29" s="36" t="n">
        <v>21</v>
      </c>
      <c r="H29" s="37" t="n">
        <v>1235.8</v>
      </c>
      <c r="I29" s="38" t="n">
        <v>922</v>
      </c>
      <c r="J29" s="37" t="n">
        <f aca="false">H29*I29/1000</f>
        <v>1139.4076</v>
      </c>
      <c r="K29" s="37" t="n">
        <f aca="false">J29*0.99</f>
        <v>1128.013524</v>
      </c>
      <c r="L29" s="38" t="n">
        <v>62.8</v>
      </c>
      <c r="M29" s="39" t="n">
        <f aca="false">H29*L29/1000</f>
        <v>77.60824</v>
      </c>
      <c r="N29" s="35"/>
    </row>
    <row r="30" customFormat="false" ht="15" hidden="false" customHeight="false" outlineLevel="0" collapsed="false">
      <c r="B30" s="0"/>
      <c r="C30" s="0"/>
      <c r="D30" s="0"/>
      <c r="E30" s="0"/>
      <c r="G30" s="36" t="n">
        <v>22</v>
      </c>
      <c r="H30" s="37" t="n">
        <v>1221.8</v>
      </c>
      <c r="I30" s="38" t="n">
        <v>923.6</v>
      </c>
      <c r="J30" s="37" t="n">
        <f aca="false">H30*I30/1000</f>
        <v>1128.45448</v>
      </c>
      <c r="K30" s="37" t="n">
        <f aca="false">J30*0.99</f>
        <v>1117.1699352</v>
      </c>
      <c r="L30" s="38" t="n">
        <v>66</v>
      </c>
      <c r="M30" s="39" t="n">
        <f aca="false">H30*L30/1000</f>
        <v>80.6388</v>
      </c>
      <c r="N30" s="35"/>
    </row>
    <row r="31" customFormat="false" ht="15" hidden="false" customHeight="false" outlineLevel="0" collapsed="false">
      <c r="B31" s="0"/>
      <c r="C31" s="0"/>
      <c r="D31" s="0"/>
      <c r="E31" s="0"/>
      <c r="G31" s="36" t="n">
        <v>23</v>
      </c>
      <c r="H31" s="37" t="n">
        <v>1189.8</v>
      </c>
      <c r="I31" s="38" t="n">
        <v>920.2</v>
      </c>
      <c r="J31" s="37" t="n">
        <f aca="false">H31*I31/1000</f>
        <v>1094.85396</v>
      </c>
      <c r="K31" s="37" t="n">
        <f aca="false">J31*0.99</f>
        <v>1083.9054204</v>
      </c>
      <c r="L31" s="38" t="n">
        <v>62.7</v>
      </c>
      <c r="M31" s="39" t="n">
        <f aca="false">H31*L31/1000</f>
        <v>74.60046</v>
      </c>
      <c r="N31" s="35"/>
    </row>
    <row r="32" customFormat="false" ht="15" hidden="false" customHeight="false" outlineLevel="0" collapsed="false">
      <c r="B32" s="0"/>
      <c r="C32" s="0"/>
      <c r="D32" s="0"/>
      <c r="E32" s="0"/>
      <c r="G32" s="36" t="n">
        <v>24</v>
      </c>
      <c r="H32" s="37" t="n">
        <v>1157.2</v>
      </c>
      <c r="I32" s="38" t="n">
        <v>917.3</v>
      </c>
      <c r="J32" s="37" t="n">
        <f aca="false">H32*I32/1000</f>
        <v>1061.49956</v>
      </c>
      <c r="K32" s="37" t="n">
        <f aca="false">J32*0.99</f>
        <v>1050.8845644</v>
      </c>
      <c r="L32" s="38" t="n">
        <v>55.7</v>
      </c>
      <c r="M32" s="39" t="n">
        <f aca="false">H32*L32/1000</f>
        <v>64.45604</v>
      </c>
      <c r="N32" s="35"/>
    </row>
    <row r="33" customFormat="false" ht="15" hidden="false" customHeight="false" outlineLevel="0" collapsed="false">
      <c r="B33" s="0"/>
      <c r="C33" s="0"/>
      <c r="D33" s="0"/>
      <c r="E33" s="0"/>
      <c r="G33" s="36" t="n">
        <v>25</v>
      </c>
      <c r="H33" s="37" t="n">
        <v>1138.8</v>
      </c>
      <c r="I33" s="38" t="n">
        <v>927.2</v>
      </c>
      <c r="J33" s="37" t="n">
        <f aca="false">H33*I33/1000</f>
        <v>1055.89536</v>
      </c>
      <c r="K33" s="37" t="n">
        <f aca="false">J33*0.99</f>
        <v>1045.3364064</v>
      </c>
      <c r="L33" s="38" t="n">
        <v>60</v>
      </c>
      <c r="M33" s="39" t="n">
        <f aca="false">H33*L33/1000</f>
        <v>68.328</v>
      </c>
      <c r="N33" s="35"/>
    </row>
    <row r="34" customFormat="false" ht="15" hidden="false" customHeight="false" outlineLevel="0" collapsed="false">
      <c r="B34" s="0"/>
      <c r="C34" s="0"/>
      <c r="D34" s="0"/>
      <c r="E34" s="0"/>
      <c r="G34" s="36" t="n">
        <v>26</v>
      </c>
      <c r="H34" s="37" t="n">
        <v>1132.2</v>
      </c>
      <c r="I34" s="38" t="n">
        <v>896.9</v>
      </c>
      <c r="J34" s="37" t="n">
        <f aca="false">H34*I34/1000</f>
        <v>1015.47018</v>
      </c>
      <c r="K34" s="37" t="n">
        <f aca="false">J34*0.99</f>
        <v>1005.3154782</v>
      </c>
      <c r="L34" s="38" t="n">
        <v>91.6</v>
      </c>
      <c r="M34" s="39" t="n">
        <f aca="false">H34*L34/1000</f>
        <v>103.70952</v>
      </c>
      <c r="N34" s="35"/>
    </row>
    <row r="35" customFormat="false" ht="15" hidden="false" customHeight="false" outlineLevel="0" collapsed="false">
      <c r="B35" s="0"/>
      <c r="C35" s="0"/>
      <c r="D35" s="0"/>
      <c r="E35" s="0"/>
      <c r="G35" s="36" t="n">
        <v>27</v>
      </c>
      <c r="H35" s="37" t="n">
        <v>1090</v>
      </c>
      <c r="I35" s="38" t="n">
        <v>903.5</v>
      </c>
      <c r="J35" s="37" t="n">
        <f aca="false">H35*I35/1000</f>
        <v>984.815</v>
      </c>
      <c r="K35" s="37" t="n">
        <f aca="false">J35*0.99</f>
        <v>974.96685</v>
      </c>
      <c r="L35" s="38" t="n">
        <v>50.6</v>
      </c>
      <c r="M35" s="39" t="n">
        <f aca="false">H35*L35/1000</f>
        <v>55.154</v>
      </c>
      <c r="N35" s="35"/>
    </row>
    <row r="36" customFormat="false" ht="15" hidden="false" customHeight="false" outlineLevel="0" collapsed="false">
      <c r="B36" s="0"/>
      <c r="C36" s="0"/>
      <c r="D36" s="0"/>
      <c r="E36" s="0"/>
      <c r="G36" s="40" t="n">
        <v>28</v>
      </c>
      <c r="H36" s="41" t="n">
        <v>1081.6</v>
      </c>
      <c r="I36" s="42" t="n">
        <v>930.4</v>
      </c>
      <c r="J36" s="41" t="n">
        <f aca="false">H36*I36/1000</f>
        <v>1006.32064</v>
      </c>
      <c r="K36" s="41" t="n">
        <f aca="false">J36*0.99</f>
        <v>996.2574336</v>
      </c>
      <c r="L36" s="42" t="n">
        <v>57.1</v>
      </c>
      <c r="M36" s="43" t="n">
        <f aca="false">H36*L36/1000</f>
        <v>61.75936</v>
      </c>
      <c r="N36" s="35"/>
    </row>
    <row r="37" customFormat="false" ht="15" hidden="false" customHeight="false" outlineLevel="0" collapsed="false">
      <c r="B37" s="0"/>
      <c r="C37" s="0"/>
      <c r="D37" s="0"/>
      <c r="E37" s="0"/>
      <c r="G37" s="44"/>
      <c r="H37" s="45" t="n">
        <f aca="false">SUM(H20:H36)</f>
        <v>20938.6</v>
      </c>
      <c r="I37" s="46"/>
      <c r="J37" s="45" t="n">
        <f aca="false">SUM(J20:J36)</f>
        <v>19244.46264</v>
      </c>
      <c r="K37" s="45" t="n">
        <f aca="false">SUM(K20:K36)</f>
        <v>19052.0180136</v>
      </c>
      <c r="L37" s="46"/>
      <c r="M37" s="47" t="n">
        <f aca="false">SUM(M20:M36)</f>
        <v>1382.8237</v>
      </c>
      <c r="N37" s="35"/>
    </row>
    <row r="38" customFormat="false" ht="15" hidden="false" customHeight="false" outlineLevel="0" collapsed="false">
      <c r="B38" s="0"/>
      <c r="C38" s="0"/>
      <c r="D38" s="0"/>
      <c r="E38" s="0"/>
      <c r="G38" s="48" t="n">
        <v>29</v>
      </c>
      <c r="H38" s="49" t="n">
        <v>1081.2</v>
      </c>
      <c r="I38" s="50" t="n">
        <v>976</v>
      </c>
      <c r="J38" s="49" t="n">
        <f aca="false">H38*I38/1000</f>
        <v>1055.2512</v>
      </c>
      <c r="K38" s="49" t="n">
        <f aca="false">J38*0.99</f>
        <v>1044.698688</v>
      </c>
      <c r="L38" s="50" t="n">
        <v>23.2</v>
      </c>
      <c r="M38" s="51" t="n">
        <f aca="false">H38*L38/1000</f>
        <v>25.08384</v>
      </c>
      <c r="N38" s="15" t="s">
        <v>13</v>
      </c>
    </row>
    <row r="39" customFormat="false" ht="15" hidden="false" customHeight="false" outlineLevel="0" collapsed="false">
      <c r="B39" s="0"/>
      <c r="C39" s="0"/>
      <c r="D39" s="0"/>
      <c r="E39" s="0"/>
      <c r="G39" s="16" t="n">
        <v>30</v>
      </c>
      <c r="H39" s="13" t="n">
        <v>1078.6</v>
      </c>
      <c r="I39" s="17" t="n">
        <v>919.9</v>
      </c>
      <c r="J39" s="13" t="n">
        <f aca="false">H39*I39/1000</f>
        <v>992.20414</v>
      </c>
      <c r="K39" s="13" t="n">
        <f aca="false">J39*0.99</f>
        <v>982.2820986</v>
      </c>
      <c r="L39" s="17" t="n">
        <v>74.8</v>
      </c>
      <c r="M39" s="18" t="n">
        <f aca="false">H39*L39/1000</f>
        <v>80.67928</v>
      </c>
      <c r="N39" s="15"/>
    </row>
    <row r="40" customFormat="false" ht="15" hidden="false" customHeight="false" outlineLevel="0" collapsed="false">
      <c r="B40" s="0"/>
      <c r="C40" s="0"/>
      <c r="D40" s="0"/>
      <c r="E40" s="0"/>
      <c r="G40" s="16" t="n">
        <v>31</v>
      </c>
      <c r="H40" s="13" t="n">
        <v>1068.6</v>
      </c>
      <c r="I40" s="17" t="n">
        <v>921</v>
      </c>
      <c r="J40" s="13" t="n">
        <f aca="false">H40*I40/1000</f>
        <v>984.1806</v>
      </c>
      <c r="K40" s="13" t="n">
        <f aca="false">J40*0.99</f>
        <v>974.338794</v>
      </c>
      <c r="L40" s="17" t="n">
        <v>68.4</v>
      </c>
      <c r="M40" s="18" t="n">
        <f aca="false">H40*L40/1000</f>
        <v>73.09224</v>
      </c>
      <c r="N40" s="15"/>
    </row>
    <row r="41" customFormat="false" ht="15" hidden="false" customHeight="false" outlineLevel="0" collapsed="false">
      <c r="B41" s="0"/>
      <c r="C41" s="0"/>
      <c r="D41" s="0"/>
      <c r="E41" s="0"/>
      <c r="G41" s="16" t="n">
        <v>32</v>
      </c>
      <c r="H41" s="13" t="n">
        <v>1067.2</v>
      </c>
      <c r="I41" s="17" t="n">
        <v>936.6</v>
      </c>
      <c r="J41" s="13" t="n">
        <f aca="false">H41*I41/1000</f>
        <v>999.53952</v>
      </c>
      <c r="K41" s="13" t="n">
        <f aca="false">J41*0.99</f>
        <v>989.5441248</v>
      </c>
      <c r="L41" s="17" t="n">
        <v>58.5</v>
      </c>
      <c r="M41" s="18" t="n">
        <f aca="false">H41*L41/1000</f>
        <v>62.4312</v>
      </c>
      <c r="N41" s="15"/>
    </row>
    <row r="42" customFormat="false" ht="15" hidden="false" customHeight="false" outlineLevel="0" collapsed="false">
      <c r="B42" s="0"/>
      <c r="C42" s="0"/>
      <c r="D42" s="0"/>
      <c r="E42" s="0"/>
      <c r="G42" s="16" t="n">
        <v>33</v>
      </c>
      <c r="H42" s="13" t="n">
        <v>1066.4</v>
      </c>
      <c r="I42" s="17" t="n">
        <v>932.4</v>
      </c>
      <c r="J42" s="13" t="n">
        <f aca="false">H42*I42/1000</f>
        <v>994.31136</v>
      </c>
      <c r="K42" s="13" t="n">
        <f aca="false">J42*0.99</f>
        <v>984.3682464</v>
      </c>
      <c r="L42" s="17" t="n">
        <v>53.4</v>
      </c>
      <c r="M42" s="18" t="n">
        <f aca="false">H42*L42/1000</f>
        <v>56.94576</v>
      </c>
      <c r="N42" s="15"/>
    </row>
    <row r="43" customFormat="false" ht="15" hidden="false" customHeight="false" outlineLevel="0" collapsed="false">
      <c r="B43" s="0"/>
      <c r="C43" s="0"/>
      <c r="D43" s="0"/>
      <c r="E43" s="0"/>
      <c r="G43" s="16" t="n">
        <v>34</v>
      </c>
      <c r="H43" s="13" t="n">
        <v>1065.8</v>
      </c>
      <c r="I43" s="17" t="n">
        <v>921</v>
      </c>
      <c r="J43" s="13" t="n">
        <f aca="false">H43*I43/1000</f>
        <v>981.6018</v>
      </c>
      <c r="K43" s="13" t="n">
        <f aca="false">J43*0.99</f>
        <v>971.785782</v>
      </c>
      <c r="L43" s="17" t="n">
        <v>66.6</v>
      </c>
      <c r="M43" s="18" t="n">
        <f aca="false">H43*L43/1000</f>
        <v>70.98228</v>
      </c>
      <c r="N43" s="15"/>
    </row>
    <row r="44" customFormat="false" ht="15" hidden="false" customHeight="false" outlineLevel="0" collapsed="false">
      <c r="B44" s="0"/>
      <c r="C44" s="0"/>
      <c r="D44" s="0"/>
      <c r="E44" s="0"/>
      <c r="G44" s="16" t="n">
        <v>35</v>
      </c>
      <c r="H44" s="13" t="n">
        <v>1060.4</v>
      </c>
      <c r="I44" s="17" t="n">
        <v>907.5</v>
      </c>
      <c r="J44" s="13" t="n">
        <f aca="false">H44*I44/1000</f>
        <v>962.313</v>
      </c>
      <c r="K44" s="13" t="n">
        <f aca="false">J44*0.99</f>
        <v>952.68987</v>
      </c>
      <c r="L44" s="17" t="n">
        <v>57</v>
      </c>
      <c r="M44" s="18" t="n">
        <f aca="false">H44*L44/1000</f>
        <v>60.4428</v>
      </c>
      <c r="N44" s="15"/>
    </row>
    <row r="45" customFormat="false" ht="15" hidden="false" customHeight="false" outlineLevel="0" collapsed="false">
      <c r="B45" s="0"/>
      <c r="C45" s="0"/>
      <c r="D45" s="0"/>
      <c r="E45" s="0"/>
      <c r="G45" s="16" t="n">
        <v>36</v>
      </c>
      <c r="H45" s="13" t="n">
        <v>1050.6</v>
      </c>
      <c r="I45" s="17" t="n">
        <v>931.2</v>
      </c>
      <c r="J45" s="13" t="n">
        <f aca="false">H45*I45/1000</f>
        <v>978.31872</v>
      </c>
      <c r="K45" s="13" t="n">
        <f aca="false">J45*0.99</f>
        <v>968.5355328</v>
      </c>
      <c r="L45" s="17" t="n">
        <v>59.2</v>
      </c>
      <c r="M45" s="18" t="n">
        <f aca="false">H45*L45/1000</f>
        <v>62.19552</v>
      </c>
      <c r="N45" s="15"/>
    </row>
    <row r="46" customFormat="false" ht="15" hidden="false" customHeight="false" outlineLevel="0" collapsed="false">
      <c r="B46" s="0"/>
      <c r="C46" s="0"/>
      <c r="D46" s="0"/>
      <c r="E46" s="0"/>
      <c r="G46" s="16" t="n">
        <v>37</v>
      </c>
      <c r="H46" s="13" t="n">
        <v>1810.2</v>
      </c>
      <c r="I46" s="17" t="n">
        <v>911</v>
      </c>
      <c r="J46" s="13" t="n">
        <f aca="false">H46*I46/1000</f>
        <v>1649.0922</v>
      </c>
      <c r="K46" s="13" t="n">
        <f aca="false">J46*0.99</f>
        <v>1632.601278</v>
      </c>
      <c r="L46" s="17" t="n">
        <v>64.3</v>
      </c>
      <c r="M46" s="18" t="n">
        <f aca="false">H46*L46/1000</f>
        <v>116.39586</v>
      </c>
      <c r="N46" s="15"/>
    </row>
    <row r="47" customFormat="false" ht="15" hidden="false" customHeight="false" outlineLevel="0" collapsed="false">
      <c r="B47" s="0"/>
      <c r="C47" s="0"/>
      <c r="D47" s="0"/>
      <c r="E47" s="0"/>
      <c r="G47" s="16" t="n">
        <v>38</v>
      </c>
      <c r="H47" s="13" t="n">
        <v>1734.2</v>
      </c>
      <c r="I47" s="17" t="n">
        <v>904</v>
      </c>
      <c r="J47" s="13" t="n">
        <f aca="false">H47*I47/1000</f>
        <v>1567.7168</v>
      </c>
      <c r="K47" s="13" t="n">
        <f aca="false">J47*0.99</f>
        <v>1552.039632</v>
      </c>
      <c r="L47" s="17" t="n">
        <v>74.5</v>
      </c>
      <c r="M47" s="18" t="n">
        <f aca="false">H47*L47/1000</f>
        <v>129.1979</v>
      </c>
      <c r="N47" s="15"/>
    </row>
    <row r="48" customFormat="false" ht="15" hidden="false" customHeight="false" outlineLevel="0" collapsed="false">
      <c r="B48" s="0"/>
      <c r="C48" s="0"/>
      <c r="D48" s="0"/>
      <c r="E48" s="0"/>
      <c r="G48" s="16" t="n">
        <v>39</v>
      </c>
      <c r="H48" s="13" t="n">
        <v>1709.2</v>
      </c>
      <c r="I48" s="17" t="n">
        <v>910.8</v>
      </c>
      <c r="J48" s="13" t="n">
        <f aca="false">H48*I48/1000</f>
        <v>1556.73936</v>
      </c>
      <c r="K48" s="13" t="n">
        <f aca="false">J48*0.99</f>
        <v>1541.1719664</v>
      </c>
      <c r="L48" s="17" t="n">
        <v>71.8</v>
      </c>
      <c r="M48" s="18" t="n">
        <f aca="false">H48*L48/1000</f>
        <v>122.72056</v>
      </c>
      <c r="N48" s="15"/>
    </row>
    <row r="49" customFormat="false" ht="15" hidden="false" customHeight="false" outlineLevel="0" collapsed="false">
      <c r="B49" s="0"/>
      <c r="C49" s="0"/>
      <c r="D49" s="0"/>
      <c r="E49" s="0"/>
      <c r="G49" s="16" t="n">
        <v>40</v>
      </c>
      <c r="H49" s="13" t="n">
        <v>1292</v>
      </c>
      <c r="I49" s="17" t="n">
        <v>900.8</v>
      </c>
      <c r="J49" s="13" t="n">
        <f aca="false">H49*I49/1000</f>
        <v>1163.8336</v>
      </c>
      <c r="K49" s="13" t="n">
        <f aca="false">J49*0.99</f>
        <v>1152.195264</v>
      </c>
      <c r="L49" s="17" t="n">
        <v>81.6</v>
      </c>
      <c r="M49" s="18" t="n">
        <f aca="false">H49*L49/1000</f>
        <v>105.4272</v>
      </c>
      <c r="N49" s="15"/>
      <c r="O49" s="52"/>
    </row>
    <row r="50" customFormat="false" ht="15" hidden="false" customHeight="false" outlineLevel="0" collapsed="false">
      <c r="B50" s="0"/>
      <c r="C50" s="0"/>
      <c r="D50" s="0"/>
      <c r="E50" s="0"/>
      <c r="G50" s="53" t="n">
        <v>41</v>
      </c>
      <c r="H50" s="22" t="n">
        <v>1260.4</v>
      </c>
      <c r="I50" s="54" t="n">
        <v>894.3</v>
      </c>
      <c r="J50" s="22" t="n">
        <f aca="false">H50*I50/1000</f>
        <v>1127.17572</v>
      </c>
      <c r="K50" s="22" t="n">
        <f aca="false">J50*0.99</f>
        <v>1115.9039628</v>
      </c>
      <c r="L50" s="54" t="n">
        <v>62.4</v>
      </c>
      <c r="M50" s="55" t="n">
        <f aca="false">H50*L50/1000</f>
        <v>78.64896</v>
      </c>
      <c r="N50" s="15"/>
    </row>
    <row r="51" customFormat="false" ht="15" hidden="false" customHeight="false" outlineLevel="0" collapsed="false">
      <c r="B51" s="0"/>
      <c r="C51" s="0"/>
      <c r="D51" s="0"/>
      <c r="E51" s="0"/>
      <c r="G51" s="56"/>
      <c r="H51" s="25" t="n">
        <f aca="false">SUM(H38:H50)</f>
        <v>16344.8</v>
      </c>
      <c r="I51" s="57"/>
      <c r="J51" s="25" t="n">
        <f aca="false">SUM(J38:J50)</f>
        <v>15012.27802</v>
      </c>
      <c r="K51" s="25" t="n">
        <f aca="false">SUM(K38:K50)</f>
        <v>14862.1552398</v>
      </c>
      <c r="L51" s="57"/>
      <c r="M51" s="30" t="n">
        <f aca="false">SUM(M38:M50)</f>
        <v>1044.2434</v>
      </c>
      <c r="N51" s="15"/>
    </row>
    <row r="52" customFormat="false" ht="15" hidden="false" customHeight="false" outlineLevel="0" collapsed="false">
      <c r="B52" s="0"/>
      <c r="C52" s="0"/>
      <c r="D52" s="0"/>
      <c r="E52" s="0"/>
      <c r="G52" s="31" t="n">
        <v>42</v>
      </c>
      <c r="H52" s="32" t="n">
        <v>1258.2</v>
      </c>
      <c r="I52" s="33" t="n">
        <v>909.1</v>
      </c>
      <c r="J52" s="32" t="n">
        <f aca="false">H52*I52/1000</f>
        <v>1143.82962</v>
      </c>
      <c r="K52" s="32" t="n">
        <f aca="false">J52*0.99</f>
        <v>1132.3913238</v>
      </c>
      <c r="L52" s="33" t="n">
        <v>52.3</v>
      </c>
      <c r="M52" s="34" t="n">
        <f aca="false">H52*L52/1000</f>
        <v>65.80386</v>
      </c>
      <c r="N52" s="35" t="s">
        <v>14</v>
      </c>
    </row>
    <row r="53" customFormat="false" ht="15" hidden="false" customHeight="false" outlineLevel="0" collapsed="false">
      <c r="B53" s="0"/>
      <c r="C53" s="0"/>
      <c r="D53" s="0"/>
      <c r="E53" s="0"/>
      <c r="G53" s="36" t="n">
        <v>43</v>
      </c>
      <c r="H53" s="37" t="n">
        <v>1245.4</v>
      </c>
      <c r="I53" s="38" t="n">
        <v>975.8</v>
      </c>
      <c r="J53" s="37" t="n">
        <f aca="false">H53*I53/1000</f>
        <v>1215.26132</v>
      </c>
      <c r="K53" s="37" t="n">
        <f aca="false">J53*0.99</f>
        <v>1203.1087068</v>
      </c>
      <c r="L53" s="38" t="n">
        <v>23.2</v>
      </c>
      <c r="M53" s="39" t="n">
        <f aca="false">H53*L53/1000</f>
        <v>28.89328</v>
      </c>
      <c r="N53" s="35"/>
    </row>
    <row r="54" customFormat="false" ht="15" hidden="false" customHeight="false" outlineLevel="0" collapsed="false">
      <c r="B54" s="0"/>
      <c r="C54" s="0"/>
      <c r="D54" s="0"/>
      <c r="E54" s="0"/>
      <c r="G54" s="36" t="n">
        <v>44</v>
      </c>
      <c r="H54" s="37" t="n">
        <v>1241.8</v>
      </c>
      <c r="I54" s="38" t="n">
        <v>925.8</v>
      </c>
      <c r="J54" s="37" t="n">
        <f aca="false">H54*I54/1000</f>
        <v>1149.65844</v>
      </c>
      <c r="K54" s="37" t="n">
        <f aca="false">J54*0.99</f>
        <v>1138.1618556</v>
      </c>
      <c r="L54" s="38" t="n">
        <v>58.5</v>
      </c>
      <c r="M54" s="39" t="n">
        <f aca="false">H54*L54/1000</f>
        <v>72.6453</v>
      </c>
      <c r="N54" s="35"/>
    </row>
    <row r="55" customFormat="false" ht="15" hidden="false" customHeight="false" outlineLevel="0" collapsed="false">
      <c r="B55" s="0"/>
      <c r="C55" s="0"/>
      <c r="D55" s="0"/>
      <c r="E55" s="0"/>
      <c r="G55" s="36" t="n">
        <v>45</v>
      </c>
      <c r="H55" s="37" t="n">
        <v>1231.2</v>
      </c>
      <c r="I55" s="38" t="n">
        <v>928.8</v>
      </c>
      <c r="J55" s="37" t="n">
        <f aca="false">H55*I55/1000</f>
        <v>1143.53856</v>
      </c>
      <c r="K55" s="37" t="n">
        <f aca="false">J55*0.99</f>
        <v>1132.1031744</v>
      </c>
      <c r="L55" s="38" t="n">
        <v>61.2</v>
      </c>
      <c r="M55" s="39" t="n">
        <f aca="false">H55*L55/1000</f>
        <v>75.34944</v>
      </c>
      <c r="N55" s="35"/>
    </row>
    <row r="56" customFormat="false" ht="15" hidden="false" customHeight="false" outlineLevel="0" collapsed="false">
      <c r="B56" s="0"/>
      <c r="C56" s="0"/>
      <c r="D56" s="0"/>
      <c r="E56" s="0"/>
      <c r="G56" s="36" t="n">
        <v>46</v>
      </c>
      <c r="H56" s="37" t="n">
        <v>1192.2</v>
      </c>
      <c r="I56" s="38" t="n">
        <v>923.2</v>
      </c>
      <c r="J56" s="37" t="n">
        <f aca="false">H56*I56/1000</f>
        <v>1100.63904</v>
      </c>
      <c r="K56" s="37" t="n">
        <f aca="false">J56*0.99</f>
        <v>1089.6326496</v>
      </c>
      <c r="L56" s="38" t="n">
        <v>60.22</v>
      </c>
      <c r="M56" s="39" t="n">
        <f aca="false">H56*L56/1000</f>
        <v>71.794284</v>
      </c>
      <c r="N56" s="35"/>
    </row>
    <row r="57" customFormat="false" ht="15" hidden="false" customHeight="false" outlineLevel="0" collapsed="false">
      <c r="B57" s="0"/>
      <c r="C57" s="0"/>
      <c r="D57" s="0"/>
      <c r="E57" s="0"/>
      <c r="G57" s="31" t="n">
        <v>47</v>
      </c>
      <c r="H57" s="32" t="n">
        <v>1171.6</v>
      </c>
      <c r="I57" s="33" t="n">
        <v>931.1</v>
      </c>
      <c r="J57" s="32" t="n">
        <f aca="false">H57*I57/1000</f>
        <v>1090.87676</v>
      </c>
      <c r="K57" s="37" t="n">
        <f aca="false">J57*0.99</f>
        <v>1079.9679924</v>
      </c>
      <c r="L57" s="33" t="n">
        <v>56.7</v>
      </c>
      <c r="M57" s="34" t="n">
        <f aca="false">H57*L57/1000</f>
        <v>66.42972</v>
      </c>
      <c r="N57" s="35"/>
    </row>
    <row r="58" customFormat="false" ht="15" hidden="false" customHeight="false" outlineLevel="0" collapsed="false">
      <c r="B58" s="0"/>
      <c r="C58" s="0"/>
      <c r="D58" s="0"/>
      <c r="E58" s="0"/>
      <c r="G58" s="36" t="n">
        <v>48</v>
      </c>
      <c r="H58" s="37" t="n">
        <v>1161.2</v>
      </c>
      <c r="I58" s="38" t="n">
        <v>931.7</v>
      </c>
      <c r="J58" s="37" t="n">
        <f aca="false">H58*I58/1000</f>
        <v>1081.89004</v>
      </c>
      <c r="K58" s="37" t="n">
        <f aca="false">J58*0.99</f>
        <v>1071.0711396</v>
      </c>
      <c r="L58" s="38" t="n">
        <v>62.6</v>
      </c>
      <c r="M58" s="39" t="n">
        <f aca="false">H58*L58/1000</f>
        <v>72.69112</v>
      </c>
      <c r="N58" s="35"/>
    </row>
    <row r="59" customFormat="false" ht="15" hidden="false" customHeight="false" outlineLevel="0" collapsed="false">
      <c r="B59" s="0"/>
      <c r="C59" s="0"/>
      <c r="D59" s="0"/>
      <c r="E59" s="0"/>
      <c r="G59" s="36" t="n">
        <v>49</v>
      </c>
      <c r="H59" s="37" t="n">
        <v>1159.8</v>
      </c>
      <c r="I59" s="38" t="n">
        <v>929.6</v>
      </c>
      <c r="J59" s="37" t="n">
        <f aca="false">H59*I59/1000</f>
        <v>1078.15008</v>
      </c>
      <c r="K59" s="37" t="n">
        <f aca="false">J59*0.99</f>
        <v>1067.3685792</v>
      </c>
      <c r="L59" s="38" t="n">
        <v>57.9</v>
      </c>
      <c r="M59" s="39" t="n">
        <f aca="false">H59*L59/1000</f>
        <v>67.15242</v>
      </c>
      <c r="N59" s="35"/>
    </row>
    <row r="60" customFormat="false" ht="15" hidden="false" customHeight="false" outlineLevel="0" collapsed="false">
      <c r="B60" s="0"/>
      <c r="C60" s="0"/>
      <c r="D60" s="0"/>
      <c r="E60" s="0"/>
      <c r="G60" s="36" t="n">
        <v>50</v>
      </c>
      <c r="H60" s="37" t="n">
        <v>1154.4</v>
      </c>
      <c r="I60" s="38" t="n">
        <v>936.7</v>
      </c>
      <c r="J60" s="37" t="n">
        <f aca="false">H60*I60/1000</f>
        <v>1081.32648</v>
      </c>
      <c r="K60" s="37" t="n">
        <f aca="false">J60*0.99</f>
        <v>1070.5132152</v>
      </c>
      <c r="L60" s="38" t="n">
        <v>54.2</v>
      </c>
      <c r="M60" s="39" t="n">
        <f aca="false">H60*L60/1000</f>
        <v>62.56848</v>
      </c>
      <c r="N60" s="35"/>
    </row>
    <row r="61" customFormat="false" ht="15" hidden="false" customHeight="false" outlineLevel="0" collapsed="false">
      <c r="B61" s="0"/>
      <c r="C61" s="0"/>
      <c r="D61" s="0"/>
      <c r="E61" s="0"/>
      <c r="G61" s="36" t="n">
        <v>51</v>
      </c>
      <c r="H61" s="37" t="n">
        <v>1150.4</v>
      </c>
      <c r="I61" s="38" t="n">
        <v>925</v>
      </c>
      <c r="J61" s="37" t="n">
        <f aca="false">H61*I61/1000</f>
        <v>1064.12</v>
      </c>
      <c r="K61" s="37" t="n">
        <f aca="false">J61*0.99</f>
        <v>1053.4788</v>
      </c>
      <c r="L61" s="38" t="n">
        <v>53.3</v>
      </c>
      <c r="M61" s="39" t="n">
        <f aca="false">H61*L61/1000</f>
        <v>61.31632</v>
      </c>
      <c r="N61" s="35"/>
    </row>
    <row r="62" customFormat="false" ht="15" hidden="false" customHeight="false" outlineLevel="0" collapsed="false">
      <c r="B62" s="0"/>
      <c r="C62" s="0"/>
      <c r="D62" s="0"/>
      <c r="E62" s="0"/>
      <c r="G62" s="36" t="n">
        <v>52</v>
      </c>
      <c r="H62" s="37" t="n">
        <v>1142</v>
      </c>
      <c r="I62" s="38" t="n">
        <v>945.2</v>
      </c>
      <c r="J62" s="37" t="n">
        <f aca="false">H62*I62/1000</f>
        <v>1079.4184</v>
      </c>
      <c r="K62" s="37" t="n">
        <f aca="false">J62*0.99</f>
        <v>1068.624216</v>
      </c>
      <c r="L62" s="38" t="n">
        <v>48.7</v>
      </c>
      <c r="M62" s="39" t="n">
        <f aca="false">H62*L62/1000</f>
        <v>55.6154</v>
      </c>
      <c r="N62" s="35"/>
    </row>
    <row r="63" customFormat="false" ht="15" hidden="false" customHeight="false" outlineLevel="0" collapsed="false">
      <c r="B63" s="0"/>
      <c r="C63" s="0"/>
      <c r="D63" s="0"/>
      <c r="E63" s="0"/>
      <c r="G63" s="36" t="n">
        <v>53</v>
      </c>
      <c r="H63" s="37" t="n">
        <v>1098.2</v>
      </c>
      <c r="I63" s="38" t="n">
        <v>927.9</v>
      </c>
      <c r="J63" s="37" t="n">
        <f aca="false">H63*I63/1000</f>
        <v>1019.01978</v>
      </c>
      <c r="K63" s="37" t="n">
        <f aca="false">J63*0.99</f>
        <v>1008.8295822</v>
      </c>
      <c r="L63" s="38" t="n">
        <v>65.3</v>
      </c>
      <c r="M63" s="39" t="n">
        <f aca="false">H63*L63/1000</f>
        <v>71.71246</v>
      </c>
      <c r="N63" s="35"/>
    </row>
    <row r="64" customFormat="false" ht="15" hidden="false" customHeight="false" outlineLevel="0" collapsed="false">
      <c r="B64" s="0"/>
      <c r="C64" s="0"/>
      <c r="D64" s="0"/>
      <c r="E64" s="0"/>
      <c r="G64" s="40" t="n">
        <v>54</v>
      </c>
      <c r="H64" s="41" t="n">
        <v>1045.6</v>
      </c>
      <c r="I64" s="42" t="n">
        <v>925.8</v>
      </c>
      <c r="J64" s="41" t="n">
        <f aca="false">H64*I64/1000</f>
        <v>968.01648</v>
      </c>
      <c r="K64" s="41" t="n">
        <f aca="false">J64*0.99</f>
        <v>958.3363152</v>
      </c>
      <c r="L64" s="42" t="n">
        <v>43.5</v>
      </c>
      <c r="M64" s="43" t="n">
        <f aca="false">H64*L64/1000</f>
        <v>45.4836</v>
      </c>
      <c r="N64" s="35"/>
    </row>
    <row r="65" customFormat="false" ht="15" hidden="false" customHeight="false" outlineLevel="0" collapsed="false">
      <c r="B65" s="0"/>
      <c r="C65" s="0"/>
      <c r="D65" s="0"/>
      <c r="E65" s="0"/>
      <c r="G65" s="44"/>
      <c r="H65" s="45" t="n">
        <f aca="false">SUM(H52:H64)</f>
        <v>15252</v>
      </c>
      <c r="I65" s="58"/>
      <c r="J65" s="45" t="n">
        <f aca="false">SUM(J52:J64)</f>
        <v>14215.745</v>
      </c>
      <c r="K65" s="45" t="n">
        <f aca="false">SUM(K52:K64)</f>
        <v>14073.58755</v>
      </c>
      <c r="L65" s="58"/>
      <c r="M65" s="47" t="n">
        <f aca="false">SUM(M52:M64)</f>
        <v>817.455684</v>
      </c>
      <c r="N65" s="35"/>
    </row>
    <row r="66" customFormat="false" ht="13.5" hidden="false" customHeight="true" outlineLevel="0" collapsed="false">
      <c r="B66" s="0"/>
      <c r="C66" s="0"/>
      <c r="D66" s="0"/>
      <c r="E66" s="0"/>
      <c r="G66" s="48" t="n">
        <v>55</v>
      </c>
      <c r="H66" s="49" t="n">
        <v>1041.8</v>
      </c>
      <c r="I66" s="50" t="n">
        <v>916.1</v>
      </c>
      <c r="J66" s="49" t="n">
        <f aca="false">H66*I66/1000</f>
        <v>954.39298</v>
      </c>
      <c r="K66" s="49" t="n">
        <f aca="false">J66*0.99</f>
        <v>944.8490502</v>
      </c>
      <c r="L66" s="50" t="n">
        <v>44.2</v>
      </c>
      <c r="M66" s="51" t="n">
        <f aca="false">H66*L66/1000</f>
        <v>46.04756</v>
      </c>
      <c r="N66" s="59" t="s">
        <v>15</v>
      </c>
    </row>
    <row r="67" customFormat="false" ht="15" hidden="false" customHeight="false" outlineLevel="0" collapsed="false">
      <c r="B67" s="0"/>
      <c r="C67" s="0"/>
      <c r="D67" s="0"/>
      <c r="E67" s="0"/>
      <c r="G67" s="16" t="n">
        <v>56</v>
      </c>
      <c r="H67" s="13" t="n">
        <v>1340.6</v>
      </c>
      <c r="I67" s="17" t="n">
        <v>923.5</v>
      </c>
      <c r="J67" s="13" t="n">
        <f aca="false">H67*I67/1000</f>
        <v>1238.0441</v>
      </c>
      <c r="K67" s="13" t="n">
        <f aca="false">J67*0.99</f>
        <v>1225.663659</v>
      </c>
      <c r="L67" s="17" t="n">
        <v>67.1</v>
      </c>
      <c r="M67" s="18" t="n">
        <f aca="false">H67*L67/1000</f>
        <v>89.95426</v>
      </c>
      <c r="N67" s="59"/>
    </row>
    <row r="68" customFormat="false" ht="15" hidden="false" customHeight="false" outlineLevel="0" collapsed="false">
      <c r="B68" s="0"/>
      <c r="C68" s="0"/>
      <c r="D68" s="0"/>
      <c r="E68" s="0"/>
      <c r="G68" s="16" t="n">
        <v>57</v>
      </c>
      <c r="H68" s="13" t="n">
        <v>1424</v>
      </c>
      <c r="I68" s="17" t="n">
        <v>904.9</v>
      </c>
      <c r="J68" s="13" t="n">
        <f aca="false">H68*I68/1000</f>
        <v>1288.5776</v>
      </c>
      <c r="K68" s="13" t="n">
        <f aca="false">J68*0.99</f>
        <v>1275.691824</v>
      </c>
      <c r="L68" s="17" t="n">
        <v>81</v>
      </c>
      <c r="M68" s="18" t="n">
        <f aca="false">H68*L68/1000</f>
        <v>115.344</v>
      </c>
      <c r="N68" s="59"/>
    </row>
    <row r="69" customFormat="false" ht="15" hidden="false" customHeight="false" outlineLevel="0" collapsed="false">
      <c r="B69" s="0"/>
      <c r="C69" s="0"/>
      <c r="D69" s="0"/>
      <c r="E69" s="0"/>
      <c r="G69" s="16" t="n">
        <v>58</v>
      </c>
      <c r="H69" s="13" t="n">
        <v>1113.4</v>
      </c>
      <c r="I69" s="17" t="n">
        <v>913.4</v>
      </c>
      <c r="J69" s="13" t="n">
        <f aca="false">H69*I69/1000</f>
        <v>1016.97956</v>
      </c>
      <c r="K69" s="13" t="n">
        <f aca="false">J69*0.99</f>
        <v>1006.8097644</v>
      </c>
      <c r="L69" s="17" t="n">
        <v>75</v>
      </c>
      <c r="M69" s="18" t="n">
        <f aca="false">H69*L69/1000</f>
        <v>83.505</v>
      </c>
      <c r="N69" s="59"/>
    </row>
    <row r="70" customFormat="false" ht="15" hidden="false" customHeight="false" outlineLevel="0" collapsed="false">
      <c r="B70" s="0"/>
      <c r="C70" s="0"/>
      <c r="D70" s="0"/>
      <c r="E70" s="0"/>
      <c r="G70" s="16" t="n">
        <v>59</v>
      </c>
      <c r="H70" s="13" t="n">
        <v>1241.2</v>
      </c>
      <c r="I70" s="17" t="n">
        <v>929.4</v>
      </c>
      <c r="J70" s="13" t="n">
        <f aca="false">H70*I70/1000</f>
        <v>1153.57128</v>
      </c>
      <c r="K70" s="13" t="n">
        <f aca="false">J70*0.99</f>
        <v>1142.0355672</v>
      </c>
      <c r="L70" s="17" t="n">
        <v>47.2</v>
      </c>
      <c r="M70" s="18" t="n">
        <f aca="false">H70*L70/1000</f>
        <v>58.58464</v>
      </c>
      <c r="N70" s="59"/>
    </row>
    <row r="71" customFormat="false" ht="15" hidden="false" customHeight="false" outlineLevel="0" collapsed="false">
      <c r="B71" s="0"/>
      <c r="C71" s="0"/>
      <c r="D71" s="0"/>
      <c r="E71" s="0"/>
      <c r="G71" s="16" t="n">
        <v>60</v>
      </c>
      <c r="H71" s="13" t="n">
        <v>999.2</v>
      </c>
      <c r="I71" s="17" t="n">
        <v>918.3</v>
      </c>
      <c r="J71" s="13" t="n">
        <f aca="false">H71*I71/1000</f>
        <v>917.56536</v>
      </c>
      <c r="K71" s="13" t="n">
        <f aca="false">J71*0.99</f>
        <v>908.3897064</v>
      </c>
      <c r="L71" s="17" t="n">
        <v>69.8</v>
      </c>
      <c r="M71" s="18" t="n">
        <f aca="false">H71*L71/1000</f>
        <v>69.74416</v>
      </c>
      <c r="N71" s="59"/>
    </row>
    <row r="72" customFormat="false" ht="15" hidden="false" customHeight="false" outlineLevel="0" collapsed="false">
      <c r="B72" s="0"/>
      <c r="C72" s="0"/>
      <c r="D72" s="0"/>
      <c r="E72" s="0"/>
      <c r="G72" s="16" t="n">
        <v>61</v>
      </c>
      <c r="H72" s="13" t="n">
        <v>972</v>
      </c>
      <c r="I72" s="17" t="n">
        <v>923.9</v>
      </c>
      <c r="J72" s="13" t="n">
        <f aca="false">H72*I72/1000</f>
        <v>898.0308</v>
      </c>
      <c r="K72" s="13" t="n">
        <f aca="false">J72*0.99</f>
        <v>889.050492</v>
      </c>
      <c r="L72" s="17" t="n">
        <v>61.2</v>
      </c>
      <c r="M72" s="18" t="n">
        <f aca="false">H72*L72/1000</f>
        <v>59.4864</v>
      </c>
      <c r="N72" s="59"/>
    </row>
    <row r="73" customFormat="false" ht="15" hidden="false" customHeight="false" outlineLevel="0" collapsed="false">
      <c r="B73" s="0"/>
      <c r="C73" s="0"/>
      <c r="D73" s="0"/>
      <c r="E73" s="0"/>
      <c r="G73" s="16" t="n">
        <v>62</v>
      </c>
      <c r="H73" s="13" t="n">
        <v>965.8</v>
      </c>
      <c r="I73" s="17" t="n">
        <v>898.6</v>
      </c>
      <c r="J73" s="13" t="n">
        <f aca="false">H73*I73/1000</f>
        <v>867.86788</v>
      </c>
      <c r="K73" s="13" t="n">
        <f aca="false">J73*0.99</f>
        <v>859.1892012</v>
      </c>
      <c r="L73" s="17" t="n">
        <v>89.6</v>
      </c>
      <c r="M73" s="18" t="n">
        <f aca="false">H73*L73/1000</f>
        <v>86.53568</v>
      </c>
      <c r="N73" s="59"/>
    </row>
    <row r="74" customFormat="false" ht="15" hidden="false" customHeight="false" outlineLevel="0" collapsed="false">
      <c r="B74" s="0"/>
      <c r="C74" s="0"/>
      <c r="D74" s="0"/>
      <c r="E74" s="0"/>
      <c r="G74" s="16" t="n">
        <v>63</v>
      </c>
      <c r="H74" s="13" t="n">
        <v>960.2</v>
      </c>
      <c r="I74" s="17" t="n">
        <v>908.9</v>
      </c>
      <c r="J74" s="13" t="n">
        <f aca="false">H74*I74/1000</f>
        <v>872.72578</v>
      </c>
      <c r="K74" s="13" t="n">
        <f aca="false">J74*0.99</f>
        <v>863.9985222</v>
      </c>
      <c r="L74" s="17" t="n">
        <v>86.2</v>
      </c>
      <c r="M74" s="18" t="n">
        <f aca="false">H74*L74/1000</f>
        <v>82.76924</v>
      </c>
      <c r="N74" s="59"/>
    </row>
    <row r="75" customFormat="false" ht="15" hidden="false" customHeight="false" outlineLevel="0" collapsed="false">
      <c r="B75" s="0"/>
      <c r="C75" s="0"/>
      <c r="D75" s="0"/>
      <c r="E75" s="0"/>
      <c r="G75" s="16" t="n">
        <v>64</v>
      </c>
      <c r="H75" s="13" t="n">
        <v>958</v>
      </c>
      <c r="I75" s="17" t="n">
        <v>903.3</v>
      </c>
      <c r="J75" s="13" t="n">
        <f aca="false">H75*I75/1000</f>
        <v>865.3614</v>
      </c>
      <c r="K75" s="13" t="n">
        <f aca="false">J75*0.99</f>
        <v>856.707786</v>
      </c>
      <c r="L75" s="17" t="n">
        <v>87.9</v>
      </c>
      <c r="M75" s="18" t="n">
        <f aca="false">H75*L75/1000</f>
        <v>84.2082</v>
      </c>
      <c r="N75" s="59"/>
    </row>
    <row r="76" customFormat="false" ht="15" hidden="false" customHeight="false" outlineLevel="0" collapsed="false">
      <c r="B76" s="0"/>
      <c r="C76" s="0"/>
      <c r="D76" s="0"/>
      <c r="E76" s="0"/>
      <c r="G76" s="16" t="n">
        <v>65</v>
      </c>
      <c r="H76" s="13" t="n">
        <v>956.2</v>
      </c>
      <c r="I76" s="17" t="n">
        <v>899.8</v>
      </c>
      <c r="J76" s="13" t="n">
        <f aca="false">H76*I76/1000</f>
        <v>860.38876</v>
      </c>
      <c r="K76" s="13" t="n">
        <f aca="false">J76*0.99</f>
        <v>851.7848724</v>
      </c>
      <c r="L76" s="17" t="n">
        <v>94.5</v>
      </c>
      <c r="M76" s="18" t="n">
        <f aca="false">H76*L76/1000</f>
        <v>90.3609</v>
      </c>
      <c r="N76" s="59"/>
    </row>
    <row r="77" customFormat="false" ht="15" hidden="false" customHeight="false" outlineLevel="0" collapsed="false">
      <c r="B77" s="0"/>
      <c r="C77" s="0"/>
      <c r="D77" s="0"/>
      <c r="E77" s="0"/>
      <c r="G77" s="16" t="n">
        <v>66</v>
      </c>
      <c r="H77" s="13" t="n">
        <v>953.2</v>
      </c>
      <c r="I77" s="17" t="n">
        <v>896.9</v>
      </c>
      <c r="J77" s="13" t="n">
        <f aca="false">H77*I77/1000</f>
        <v>854.92508</v>
      </c>
      <c r="K77" s="13" t="n">
        <f aca="false">J77*0.99</f>
        <v>846.3758292</v>
      </c>
      <c r="L77" s="17" t="n">
        <v>96.4</v>
      </c>
      <c r="M77" s="18" t="n">
        <f aca="false">H77*L77/1000</f>
        <v>91.88848</v>
      </c>
      <c r="N77" s="59"/>
    </row>
    <row r="78" customFormat="false" ht="15" hidden="false" customHeight="false" outlineLevel="0" collapsed="false">
      <c r="B78" s="0"/>
      <c r="C78" s="0"/>
      <c r="D78" s="0"/>
      <c r="E78" s="0"/>
      <c r="G78" s="16" t="n">
        <v>67</v>
      </c>
      <c r="H78" s="13" t="n">
        <v>946.8</v>
      </c>
      <c r="I78" s="17" t="n">
        <v>898.3</v>
      </c>
      <c r="J78" s="13" t="n">
        <f aca="false">H78*I78/1000</f>
        <v>850.51044</v>
      </c>
      <c r="K78" s="13" t="n">
        <f aca="false">J78*0.99</f>
        <v>842.0053356</v>
      </c>
      <c r="L78" s="17" t="n">
        <v>95.1</v>
      </c>
      <c r="M78" s="18" t="n">
        <f aca="false">H78*L78/1000</f>
        <v>90.04068</v>
      </c>
      <c r="N78" s="59"/>
    </row>
    <row r="79" customFormat="false" ht="15" hidden="false" customHeight="false" outlineLevel="0" collapsed="false">
      <c r="B79" s="0"/>
      <c r="C79" s="0"/>
      <c r="D79" s="0"/>
      <c r="E79" s="0"/>
      <c r="G79" s="53" t="n">
        <v>68</v>
      </c>
      <c r="H79" s="22" t="n">
        <v>930.6</v>
      </c>
      <c r="I79" s="60" t="n">
        <v>902.9</v>
      </c>
      <c r="J79" s="22" t="n">
        <f aca="false">H79*I79/1000</f>
        <v>840.23874</v>
      </c>
      <c r="K79" s="22" t="n">
        <f aca="false">J79*0.99</f>
        <v>831.8363526</v>
      </c>
      <c r="L79" s="54" t="n">
        <v>57.7</v>
      </c>
      <c r="M79" s="55" t="n">
        <f aca="false">H79*L79/1000</f>
        <v>53.69562</v>
      </c>
      <c r="N79" s="59"/>
    </row>
    <row r="80" customFormat="false" ht="15" hidden="false" customHeight="false" outlineLevel="0" collapsed="false">
      <c r="B80" s="0"/>
      <c r="C80" s="0"/>
      <c r="D80" s="0"/>
      <c r="E80" s="0"/>
      <c r="G80" s="24"/>
      <c r="H80" s="25" t="n">
        <f aca="false">SUM(H66:H79)</f>
        <v>14803</v>
      </c>
      <c r="I80" s="61"/>
      <c r="J80" s="25" t="n">
        <f aca="false">SUM(J66:J79)</f>
        <v>13479.17976</v>
      </c>
      <c r="K80" s="25" t="n">
        <f aca="false">SUM(K66:K79)</f>
        <v>13344.3879624</v>
      </c>
      <c r="L80" s="61"/>
      <c r="M80" s="30" t="n">
        <f aca="false">SUM(M66:M79)</f>
        <v>1102.16482</v>
      </c>
      <c r="N80" s="59"/>
    </row>
    <row r="83" customFormat="false" ht="15" hidden="false" customHeight="false" outlineLevel="0" collapsed="false">
      <c r="H83" s="52" t="n">
        <f aca="false">H19+H37+H51+H65+H80</f>
        <v>87156</v>
      </c>
      <c r="J83" s="52" t="n">
        <f aca="false">J19+J37+J51+J65+J80</f>
        <v>80286.20764</v>
      </c>
      <c r="K83" s="52" t="n">
        <f aca="false">K19+K37+K51+K65+K80</f>
        <v>79483.3455636</v>
      </c>
      <c r="M83" s="52" t="n">
        <f aca="false">M19+M37+M65+M80+M51</f>
        <v>5592.200904</v>
      </c>
    </row>
  </sheetData>
  <mergeCells count="8">
    <mergeCell ref="I3:M3"/>
    <mergeCell ref="I4:M4"/>
    <mergeCell ref="I5:M5"/>
    <mergeCell ref="N8:N19"/>
    <mergeCell ref="N20:N37"/>
    <mergeCell ref="N38:N51"/>
    <mergeCell ref="N52:N65"/>
    <mergeCell ref="N66:N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2026-06-12T19:50:24Z</dcterms:created>
  <dc:creator>Usuario03</dc:creator>
  <dc:description/>
  <dc:language>en-US</dc:language>
  <cp:lastModifiedBy/>
  <dcterms:modified xsi:type="dcterms:W3CDTF">2026-06-25T14:09:30Z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31e8e33a-932d-47e3-93d6-91dbd79477f9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2026-06-12T19:51:10Z</vt:lpwstr>
  </property>
  <property fmtid="{D5CDD505-2E9C-101B-9397-08002B2CF9AE}" pid="8" name="MSIP_Label_defa4170-0d19-0005-0004-bc88714345d2_SiteId">
    <vt:lpwstr>dddc8414-4a10-4c45-b4a0-d9c3a923e3fa</vt:lpwstr>
  </property>
  <property fmtid="{D5CDD505-2E9C-101B-9397-08002B2CF9AE}" pid="9" name="MSIP_Label_defa4170-0d19-0005-0004-bc88714345d2_Tag">
    <vt:lpwstr>10, 3, 0, 1</vt:lpwstr>
  </property>
</Properties>
</file>