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3DE091EB-EEA1-4A04-B924-4F9FA84D26E6}" xr6:coauthVersionLast="47" xr6:coauthVersionMax="47" xr10:uidLastSave="{00000000-0000-0000-0000-000000000000}"/>
  <bookViews>
    <workbookView xWindow="-108" yWindow="-108" windowWidth="23256" windowHeight="12456" xr2:uid="{24C4DCE8-73B2-4BB3-8EDF-3DF88E36925F}"/>
  </bookViews>
  <sheets>
    <sheet name="243PLAN DE CARGA" sheetId="1" r:id="rId1"/>
  </sheets>
  <definedNames>
    <definedName name="_xlnm.Print_Area" localSheetId="0">'243PLAN DE CARGA'!$A$1:$O$84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0" i="1" l="1"/>
  <c r="E80" i="1"/>
  <c r="C80" i="1"/>
  <c r="M79" i="1"/>
  <c r="J79" i="1"/>
  <c r="M78" i="1"/>
  <c r="J78" i="1"/>
  <c r="M77" i="1"/>
  <c r="J77" i="1"/>
  <c r="M76" i="1"/>
  <c r="J76" i="1"/>
  <c r="M75" i="1"/>
  <c r="J75" i="1"/>
  <c r="M74" i="1"/>
  <c r="J74" i="1"/>
  <c r="M73" i="1"/>
  <c r="J73" i="1"/>
  <c r="M72" i="1"/>
  <c r="J72" i="1"/>
  <c r="M71" i="1"/>
  <c r="J71" i="1"/>
  <c r="M70" i="1"/>
  <c r="J70" i="1"/>
  <c r="M69" i="1"/>
  <c r="J69" i="1"/>
  <c r="M68" i="1"/>
  <c r="J68" i="1"/>
  <c r="M67" i="1"/>
  <c r="J67" i="1"/>
  <c r="M66" i="1"/>
  <c r="J66" i="1"/>
  <c r="H65" i="1"/>
  <c r="M64" i="1"/>
  <c r="J64" i="1"/>
  <c r="M63" i="1"/>
  <c r="J63" i="1"/>
  <c r="M62" i="1"/>
  <c r="J62" i="1"/>
  <c r="M61" i="1"/>
  <c r="J61" i="1"/>
  <c r="M60" i="1"/>
  <c r="J60" i="1"/>
  <c r="M59" i="1"/>
  <c r="K59" i="1"/>
  <c r="J59" i="1"/>
  <c r="M58" i="1"/>
  <c r="J58" i="1"/>
  <c r="M57" i="1"/>
  <c r="J57" i="1"/>
  <c r="M56" i="1"/>
  <c r="J56" i="1"/>
  <c r="M55" i="1"/>
  <c r="J55" i="1"/>
  <c r="M54" i="1"/>
  <c r="J54" i="1"/>
  <c r="M53" i="1"/>
  <c r="J53" i="1"/>
  <c r="M52" i="1"/>
  <c r="K52" i="1"/>
  <c r="J52" i="1"/>
  <c r="H51" i="1"/>
  <c r="M50" i="1"/>
  <c r="K50" i="1"/>
  <c r="J50" i="1"/>
  <c r="M49" i="1"/>
  <c r="J49" i="1"/>
  <c r="M48" i="1"/>
  <c r="J48" i="1"/>
  <c r="M47" i="1"/>
  <c r="J47" i="1"/>
  <c r="M46" i="1"/>
  <c r="J46" i="1"/>
  <c r="M45" i="1"/>
  <c r="J45" i="1"/>
  <c r="M44" i="1"/>
  <c r="J44" i="1"/>
  <c r="M43" i="1"/>
  <c r="J43" i="1"/>
  <c r="M42" i="1"/>
  <c r="J42" i="1"/>
  <c r="M41" i="1"/>
  <c r="J41" i="1"/>
  <c r="M40" i="1"/>
  <c r="J40" i="1"/>
  <c r="M39" i="1"/>
  <c r="J39" i="1"/>
  <c r="M38" i="1"/>
  <c r="J38" i="1"/>
  <c r="H37" i="1"/>
  <c r="M36" i="1"/>
  <c r="J36" i="1"/>
  <c r="M35" i="1"/>
  <c r="J35" i="1"/>
  <c r="M34" i="1"/>
  <c r="J34" i="1"/>
  <c r="M33" i="1"/>
  <c r="J33" i="1"/>
  <c r="M32" i="1"/>
  <c r="J32" i="1"/>
  <c r="M31" i="1"/>
  <c r="J31" i="1"/>
  <c r="M30" i="1"/>
  <c r="J30" i="1"/>
  <c r="M29" i="1"/>
  <c r="J29" i="1"/>
  <c r="M28" i="1"/>
  <c r="J28" i="1"/>
  <c r="M27" i="1"/>
  <c r="J27" i="1"/>
  <c r="M26" i="1"/>
  <c r="J26" i="1"/>
  <c r="M25" i="1"/>
  <c r="J25" i="1"/>
  <c r="M24" i="1"/>
  <c r="J24" i="1"/>
  <c r="M23" i="1"/>
  <c r="J23" i="1"/>
  <c r="M22" i="1"/>
  <c r="J22" i="1"/>
  <c r="M21" i="1"/>
  <c r="J21" i="1"/>
  <c r="M20" i="1"/>
  <c r="J20" i="1"/>
  <c r="H19" i="1"/>
  <c r="M18" i="1"/>
  <c r="J18" i="1"/>
  <c r="M17" i="1"/>
  <c r="J17" i="1"/>
  <c r="M16" i="1"/>
  <c r="J16" i="1"/>
  <c r="M15" i="1"/>
  <c r="J15" i="1"/>
  <c r="M14" i="1"/>
  <c r="J14" i="1"/>
  <c r="M13" i="1"/>
  <c r="J13" i="1"/>
  <c r="M12" i="1"/>
  <c r="J12" i="1"/>
  <c r="M11" i="1"/>
  <c r="J11" i="1"/>
  <c r="M10" i="1"/>
  <c r="J10" i="1"/>
  <c r="M9" i="1"/>
  <c r="J9" i="1"/>
  <c r="M8" i="1"/>
  <c r="J8" i="1"/>
  <c r="H83" i="1" l="1"/>
  <c r="J80" i="1"/>
  <c r="K79" i="1"/>
  <c r="K77" i="1"/>
  <c r="K76" i="1"/>
  <c r="K74" i="1"/>
  <c r="K67" i="1"/>
  <c r="K64" i="1"/>
  <c r="K63" i="1"/>
  <c r="K62" i="1"/>
  <c r="K61" i="1"/>
  <c r="K60" i="1"/>
  <c r="K58" i="1"/>
  <c r="K57" i="1"/>
  <c r="K55" i="1"/>
  <c r="K54" i="1"/>
  <c r="K46" i="1"/>
  <c r="K44" i="1"/>
  <c r="K42" i="1"/>
  <c r="K40" i="1"/>
  <c r="K39" i="1"/>
  <c r="M37" i="1"/>
  <c r="J37" i="1"/>
  <c r="K35" i="1"/>
  <c r="K33" i="1"/>
  <c r="K32" i="1"/>
  <c r="K31" i="1"/>
  <c r="K29" i="1"/>
  <c r="K28" i="1"/>
  <c r="K27" i="1"/>
  <c r="K26" i="1"/>
  <c r="K25" i="1"/>
  <c r="K24" i="1"/>
  <c r="K23" i="1"/>
  <c r="K22" i="1"/>
  <c r="K21" i="1"/>
  <c r="K20" i="1"/>
  <c r="M19" i="1"/>
  <c r="J19" i="1"/>
  <c r="K18" i="1"/>
  <c r="K17" i="1"/>
  <c r="K16" i="1"/>
  <c r="K15" i="1"/>
  <c r="K14" i="1"/>
  <c r="K13" i="1"/>
  <c r="K12" i="1"/>
  <c r="K11" i="1"/>
  <c r="K10" i="1"/>
  <c r="K9" i="1"/>
  <c r="K8" i="1"/>
  <c r="K19" i="1" s="1"/>
  <c r="M80" i="1"/>
  <c r="K78" i="1"/>
  <c r="K75" i="1"/>
  <c r="K73" i="1"/>
  <c r="K72" i="1"/>
  <c r="K71" i="1"/>
  <c r="K70" i="1"/>
  <c r="K69" i="1"/>
  <c r="K68" i="1"/>
  <c r="K66" i="1"/>
  <c r="K80" i="1" s="1"/>
  <c r="M65" i="1"/>
  <c r="J65" i="1"/>
  <c r="K56" i="1"/>
  <c r="K53" i="1"/>
  <c r="M51" i="1"/>
  <c r="J51" i="1"/>
  <c r="K49" i="1"/>
  <c r="K48" i="1"/>
  <c r="K47" i="1"/>
  <c r="K45" i="1"/>
  <c r="K43" i="1"/>
  <c r="K41" i="1"/>
  <c r="K38" i="1"/>
  <c r="K51" i="1" s="1"/>
  <c r="K36" i="1"/>
  <c r="K34" i="1"/>
  <c r="K30" i="1"/>
  <c r="K65" i="1" l="1"/>
  <c r="K37" i="1"/>
  <c r="K83" i="1" s="1"/>
  <c r="M83" i="1"/>
  <c r="J83" i="1"/>
</calcChain>
</file>

<file path=xl/sharedStrings.xml><?xml version="1.0" encoding="utf-8"?>
<sst xmlns="http://schemas.openxmlformats.org/spreadsheetml/2006/main" count="23" uniqueCount="19">
  <si>
    <t>PAQUETE 243</t>
  </si>
  <si>
    <t>68 BARRAS</t>
  </si>
  <si>
    <t>BANDES</t>
  </si>
  <si>
    <t>PLAN DE CARGA</t>
  </si>
  <si>
    <t>N</t>
  </si>
  <si>
    <t>PESO BRUTO</t>
  </si>
  <si>
    <t>LEY Au (‰)</t>
  </si>
  <si>
    <t>PESO FINO Au</t>
  </si>
  <si>
    <t>PESO BRUTO (g)</t>
  </si>
  <si>
    <t>PESO FINO Au (g)</t>
  </si>
  <si>
    <t>PESO FINO ESP. (-1%)</t>
  </si>
  <si>
    <t>LEY Ag (‰)</t>
  </si>
  <si>
    <t>PESO FINO Ag (g)</t>
  </si>
  <si>
    <t>LOTE N°</t>
  </si>
  <si>
    <t>LOTE 1</t>
  </si>
  <si>
    <t>LOTE 2</t>
  </si>
  <si>
    <t>LOTE 3</t>
  </si>
  <si>
    <t>LOTE 4</t>
  </si>
  <si>
    <t>LOTE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</si>
</sst>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2" fontId="2" fillId="3" borderId="9" xfId="0" applyNumberFormat="1" applyFont="1" applyFill="1" applyBorder="1" applyAlignment="1">
      <alignment horizontal="center"/>
    </xf>
    <xf numFmtId="164" fontId="2" fillId="3" borderId="9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10" xfId="0" applyNumberFormat="1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 textRotation="90"/>
    </xf>
    <xf numFmtId="0" fontId="2" fillId="3" borderId="12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2" fontId="2" fillId="3" borderId="13" xfId="0" applyNumberFormat="1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 vertical="center" textRotation="90"/>
    </xf>
    <xf numFmtId="0" fontId="2" fillId="3" borderId="15" xfId="0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164" fontId="2" fillId="3" borderId="16" xfId="0" applyNumberFormat="1" applyFont="1" applyFill="1" applyBorder="1" applyAlignment="1">
      <alignment horizontal="center"/>
    </xf>
    <xf numFmtId="2" fontId="2" fillId="3" borderId="17" xfId="0" applyNumberFormat="1" applyFont="1" applyFill="1" applyBorder="1" applyAlignment="1">
      <alignment horizontal="center"/>
    </xf>
    <xf numFmtId="2" fontId="2" fillId="3" borderId="18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2" fontId="1" fillId="3" borderId="4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2" fontId="1" fillId="3" borderId="19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164" fontId="2" fillId="3" borderId="21" xfId="0" applyNumberFormat="1" applyFont="1" applyFill="1" applyBorder="1" applyAlignment="1">
      <alignment horizontal="center"/>
    </xf>
    <xf numFmtId="2" fontId="1" fillId="3" borderId="6" xfId="0" applyNumberFormat="1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 vertical="center" textRotation="90"/>
    </xf>
    <xf numFmtId="0" fontId="2" fillId="0" borderId="23" xfId="0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164" fontId="2" fillId="0" borderId="24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 vertical="center" textRotation="90"/>
    </xf>
    <xf numFmtId="0" fontId="2" fillId="0" borderId="26" xfId="0" applyFont="1" applyBorder="1" applyAlignment="1">
      <alignment horizontal="center"/>
    </xf>
    <xf numFmtId="2" fontId="2" fillId="0" borderId="17" xfId="0" applyNumberFormat="1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2" fontId="2" fillId="0" borderId="27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 vertical="center" textRotation="90"/>
    </xf>
    <xf numFmtId="0" fontId="2" fillId="3" borderId="23" xfId="0" applyFont="1" applyFill="1" applyBorder="1" applyAlignment="1">
      <alignment horizontal="center"/>
    </xf>
    <xf numFmtId="2" fontId="2" fillId="3" borderId="24" xfId="0" applyNumberFormat="1" applyFont="1" applyFill="1" applyBorder="1" applyAlignment="1">
      <alignment horizontal="center"/>
    </xf>
    <xf numFmtId="164" fontId="2" fillId="3" borderId="24" xfId="0" applyNumberFormat="1" applyFont="1" applyFill="1" applyBorder="1" applyAlignment="1">
      <alignment horizontal="center"/>
    </xf>
    <xf numFmtId="2" fontId="2" fillId="3" borderId="25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164" fontId="2" fillId="3" borderId="17" xfId="0" applyNumberFormat="1" applyFont="1" applyFill="1" applyBorder="1" applyAlignment="1">
      <alignment horizontal="center"/>
    </xf>
    <xf numFmtId="2" fontId="2" fillId="3" borderId="27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3" borderId="28" xfId="0" applyFont="1" applyFill="1" applyBorder="1" applyAlignment="1">
      <alignment horizontal="center" vertical="center" textRotation="90"/>
    </xf>
    <xf numFmtId="0" fontId="1" fillId="3" borderId="29" xfId="0" applyFont="1" applyFill="1" applyBorder="1" applyAlignment="1">
      <alignment horizontal="center" vertical="center" textRotation="90"/>
    </xf>
    <xf numFmtId="0" fontId="2" fillId="0" borderId="2" xfId="0" applyFont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9EAE-A38C-489B-BE85-4EC8DF1C3D82}">
  <dimension ref="B3:O83"/>
  <sheetViews>
    <sheetView tabSelected="1" view="pageBreakPreview" topLeftCell="A27" zoomScaleNormal="100" zoomScaleSheetLayoutView="100" workbookViewId="0">
      <selection activeCell="K14" sqref="K14"/>
    </sheetView>
  </sheetViews>
  <sheetFormatPr baseColWidth="10" defaultColWidth="11.21875" defaultRowHeight="15.6" x14ac:dyDescent="0.3"/>
  <cols>
    <col min="1" max="1" width="11.21875" style="2"/>
    <col min="2" max="2" width="3.44140625" style="2" bestFit="1" customWidth="1"/>
    <col min="3" max="3" width="12.77734375" style="2" bestFit="1" customWidth="1"/>
    <col min="4" max="4" width="11.21875" style="2"/>
    <col min="5" max="5" width="13.5546875" style="2" bestFit="1" customWidth="1"/>
    <col min="6" max="6" width="11.21875" style="2"/>
    <col min="7" max="7" width="3.21875" style="2" customWidth="1"/>
    <col min="8" max="8" width="17.44140625" style="2" bestFit="1" customWidth="1"/>
    <col min="9" max="9" width="11.5546875" style="2" bestFit="1" customWidth="1"/>
    <col min="10" max="10" width="18.109375" style="2" bestFit="1" customWidth="1"/>
    <col min="11" max="11" width="22.44140625" style="2" bestFit="1" customWidth="1"/>
    <col min="12" max="12" width="11.88671875" style="2" bestFit="1" customWidth="1"/>
    <col min="13" max="13" width="16.44140625" style="2" bestFit="1" customWidth="1"/>
    <col min="14" max="16384" width="11.21875" style="2"/>
  </cols>
  <sheetData>
    <row r="3" spans="2:14" x14ac:dyDescent="0.3">
      <c r="B3" s="1" t="s">
        <v>0</v>
      </c>
      <c r="C3" s="1"/>
      <c r="D3" s="1"/>
      <c r="E3" s="1"/>
      <c r="G3" s="3"/>
      <c r="H3" s="3"/>
      <c r="I3" s="4" t="s">
        <v>0</v>
      </c>
      <c r="J3" s="4"/>
      <c r="K3" s="4"/>
      <c r="L3" s="4"/>
      <c r="M3" s="4"/>
    </row>
    <row r="4" spans="2:14" x14ac:dyDescent="0.3">
      <c r="B4" s="1" t="s">
        <v>1</v>
      </c>
      <c r="C4" s="1"/>
      <c r="D4" s="1"/>
      <c r="E4" s="1"/>
      <c r="G4" s="3"/>
      <c r="H4" s="3"/>
      <c r="I4" s="4" t="s">
        <v>1</v>
      </c>
      <c r="J4" s="4"/>
      <c r="K4" s="4"/>
      <c r="L4" s="4"/>
      <c r="M4" s="4"/>
    </row>
    <row r="5" spans="2:14" x14ac:dyDescent="0.3">
      <c r="B5" s="5"/>
      <c r="C5" s="5"/>
      <c r="D5" s="5" t="s">
        <v>2</v>
      </c>
      <c r="E5" s="5"/>
      <c r="I5" s="6" t="s">
        <v>3</v>
      </c>
      <c r="J5" s="6"/>
      <c r="K5" s="6"/>
      <c r="L5" s="6"/>
      <c r="M5" s="6"/>
    </row>
    <row r="6" spans="2:14" ht="16.2" thickBot="1" x14ac:dyDescent="0.35"/>
    <row r="7" spans="2:14" ht="16.2" thickBot="1" x14ac:dyDescent="0.35">
      <c r="B7" s="7" t="s">
        <v>4</v>
      </c>
      <c r="C7" s="8" t="s">
        <v>5</v>
      </c>
      <c r="D7" s="7" t="s">
        <v>6</v>
      </c>
      <c r="E7" s="7" t="s">
        <v>7</v>
      </c>
      <c r="G7" s="9" t="s">
        <v>4</v>
      </c>
      <c r="H7" s="10" t="s">
        <v>8</v>
      </c>
      <c r="I7" s="10" t="s">
        <v>6</v>
      </c>
      <c r="J7" s="10" t="s">
        <v>9</v>
      </c>
      <c r="K7" s="11" t="s">
        <v>10</v>
      </c>
      <c r="L7" s="10" t="s">
        <v>11</v>
      </c>
      <c r="M7" s="12" t="s">
        <v>12</v>
      </c>
      <c r="N7" s="13" t="s">
        <v>13</v>
      </c>
    </row>
    <row r="8" spans="2:14" x14ac:dyDescent="0.3">
      <c r="B8" s="14">
        <v>1</v>
      </c>
      <c r="C8" s="15">
        <v>2727.1</v>
      </c>
      <c r="D8" s="14">
        <v>933</v>
      </c>
      <c r="E8" s="16">
        <v>2544.38</v>
      </c>
      <c r="G8" s="17">
        <v>1</v>
      </c>
      <c r="H8" s="18">
        <v>2727.2</v>
      </c>
      <c r="I8" s="19">
        <v>934.1</v>
      </c>
      <c r="J8" s="18">
        <f>H8*I8/1000</f>
        <v>2547.4775199999999</v>
      </c>
      <c r="K8" s="20">
        <f>J8*0.99</f>
        <v>2522.0027448000001</v>
      </c>
      <c r="L8" s="19">
        <v>58.1</v>
      </c>
      <c r="M8" s="21">
        <f>H8*L8/1000</f>
        <v>158.45032</v>
      </c>
      <c r="N8" s="22" t="s">
        <v>14</v>
      </c>
    </row>
    <row r="9" spans="2:14" x14ac:dyDescent="0.3">
      <c r="B9" s="14">
        <v>2</v>
      </c>
      <c r="C9" s="15">
        <v>2533.1999999999998</v>
      </c>
      <c r="D9" s="14">
        <v>910</v>
      </c>
      <c r="E9" s="16">
        <v>2305.21</v>
      </c>
      <c r="G9" s="23">
        <v>2</v>
      </c>
      <c r="H9" s="20">
        <v>2533.4</v>
      </c>
      <c r="I9" s="24">
        <v>919.2</v>
      </c>
      <c r="J9" s="20">
        <f t="shared" ref="J9:J76" si="0">H9*I9/1000</f>
        <v>2328.7012800000002</v>
      </c>
      <c r="K9" s="20">
        <f t="shared" ref="K9:K18" si="1">J9*0.99</f>
        <v>2305.4142672000003</v>
      </c>
      <c r="L9" s="24">
        <v>67.400000000000006</v>
      </c>
      <c r="M9" s="25">
        <f t="shared" ref="M9:M76" si="2">H9*L9/1000</f>
        <v>170.75116000000003</v>
      </c>
      <c r="N9" s="26"/>
    </row>
    <row r="10" spans="2:14" x14ac:dyDescent="0.3">
      <c r="B10" s="14">
        <v>3</v>
      </c>
      <c r="C10" s="15">
        <v>2020.2</v>
      </c>
      <c r="D10" s="14">
        <v>933</v>
      </c>
      <c r="E10" s="16">
        <v>1884.85</v>
      </c>
      <c r="G10" s="23">
        <v>3</v>
      </c>
      <c r="H10" s="20">
        <v>2020.4</v>
      </c>
      <c r="I10" s="24">
        <v>932.9</v>
      </c>
      <c r="J10" s="20">
        <f t="shared" si="0"/>
        <v>1884.8311600000002</v>
      </c>
      <c r="K10" s="20">
        <f t="shared" si="1"/>
        <v>1865.9828484000002</v>
      </c>
      <c r="L10" s="24">
        <v>56.1</v>
      </c>
      <c r="M10" s="25">
        <f t="shared" si="2"/>
        <v>113.34444000000001</v>
      </c>
      <c r="N10" s="26"/>
    </row>
    <row r="11" spans="2:14" x14ac:dyDescent="0.3">
      <c r="B11" s="14">
        <v>4</v>
      </c>
      <c r="C11" s="15">
        <v>1876.5</v>
      </c>
      <c r="D11" s="14">
        <v>941</v>
      </c>
      <c r="E11" s="16">
        <v>1765.79</v>
      </c>
      <c r="G11" s="23">
        <v>4</v>
      </c>
      <c r="H11" s="20">
        <v>1876.8</v>
      </c>
      <c r="I11" s="24">
        <v>942.1</v>
      </c>
      <c r="J11" s="20">
        <f t="shared" si="0"/>
        <v>1768.13328</v>
      </c>
      <c r="K11" s="20">
        <f t="shared" si="1"/>
        <v>1750.4519471999999</v>
      </c>
      <c r="L11" s="24">
        <v>49.2</v>
      </c>
      <c r="M11" s="25">
        <f t="shared" si="2"/>
        <v>92.338560000000001</v>
      </c>
      <c r="N11" s="26"/>
    </row>
    <row r="12" spans="2:14" x14ac:dyDescent="0.3">
      <c r="B12" s="14">
        <v>5</v>
      </c>
      <c r="C12" s="15">
        <v>1739.1</v>
      </c>
      <c r="D12" s="14">
        <v>908</v>
      </c>
      <c r="E12" s="16">
        <v>1579.1</v>
      </c>
      <c r="G12" s="23">
        <v>5</v>
      </c>
      <c r="H12" s="20">
        <v>1739.2</v>
      </c>
      <c r="I12" s="24">
        <v>906.2</v>
      </c>
      <c r="J12" s="20">
        <f t="shared" si="0"/>
        <v>1576.06304</v>
      </c>
      <c r="K12" s="20">
        <f t="shared" si="1"/>
        <v>1560.3024095999999</v>
      </c>
      <c r="L12" s="24">
        <v>74.099999999999994</v>
      </c>
      <c r="M12" s="25">
        <f t="shared" si="2"/>
        <v>128.87472</v>
      </c>
      <c r="N12" s="26"/>
    </row>
    <row r="13" spans="2:14" x14ac:dyDescent="0.3">
      <c r="B13" s="14">
        <v>6</v>
      </c>
      <c r="C13" s="15">
        <v>1733.7</v>
      </c>
      <c r="D13" s="14">
        <v>923</v>
      </c>
      <c r="E13" s="16">
        <v>1600.21</v>
      </c>
      <c r="G13" s="23">
        <v>6</v>
      </c>
      <c r="H13" s="20">
        <v>1733.8</v>
      </c>
      <c r="I13" s="24">
        <v>921.5</v>
      </c>
      <c r="J13" s="20">
        <f t="shared" si="0"/>
        <v>1597.6967</v>
      </c>
      <c r="K13" s="20">
        <f t="shared" si="1"/>
        <v>1581.7197329999999</v>
      </c>
      <c r="L13" s="24">
        <v>64.7</v>
      </c>
      <c r="M13" s="25">
        <f t="shared" si="2"/>
        <v>112.17686</v>
      </c>
      <c r="N13" s="26"/>
    </row>
    <row r="14" spans="2:14" x14ac:dyDescent="0.3">
      <c r="B14" s="14">
        <v>7</v>
      </c>
      <c r="C14" s="15">
        <v>1491</v>
      </c>
      <c r="D14" s="14">
        <v>840</v>
      </c>
      <c r="E14" s="16">
        <v>1252.44</v>
      </c>
      <c r="G14" s="23">
        <v>7</v>
      </c>
      <c r="H14" s="20">
        <v>1491.2</v>
      </c>
      <c r="I14" s="24">
        <v>906.8</v>
      </c>
      <c r="J14" s="20">
        <f t="shared" si="0"/>
        <v>1352.2201599999999</v>
      </c>
      <c r="K14" s="20">
        <f t="shared" si="1"/>
        <v>1338.6979583999998</v>
      </c>
      <c r="L14" s="24">
        <v>78.400000000000006</v>
      </c>
      <c r="M14" s="25">
        <f t="shared" si="2"/>
        <v>116.91008000000002</v>
      </c>
      <c r="N14" s="26"/>
    </row>
    <row r="15" spans="2:14" x14ac:dyDescent="0.3">
      <c r="B15" s="14">
        <v>8</v>
      </c>
      <c r="C15" s="15">
        <v>1462.8</v>
      </c>
      <c r="D15" s="14">
        <v>933</v>
      </c>
      <c r="E15" s="16">
        <v>1364.79</v>
      </c>
      <c r="G15" s="23">
        <v>8</v>
      </c>
      <c r="H15" s="20">
        <v>1462.8</v>
      </c>
      <c r="I15" s="24">
        <v>932.9</v>
      </c>
      <c r="J15" s="20">
        <f t="shared" si="0"/>
        <v>1364.6461199999999</v>
      </c>
      <c r="K15" s="20">
        <f t="shared" si="1"/>
        <v>1350.9996587999999</v>
      </c>
      <c r="L15" s="24">
        <v>59.3</v>
      </c>
      <c r="M15" s="25">
        <f t="shared" si="2"/>
        <v>86.744039999999998</v>
      </c>
      <c r="N15" s="26"/>
    </row>
    <row r="16" spans="2:14" x14ac:dyDescent="0.3">
      <c r="B16" s="14">
        <v>9</v>
      </c>
      <c r="C16" s="15">
        <v>1442.6</v>
      </c>
      <c r="D16" s="14">
        <v>921</v>
      </c>
      <c r="E16" s="16">
        <v>1328.63</v>
      </c>
      <c r="G16" s="23">
        <v>9</v>
      </c>
      <c r="H16" s="20">
        <v>1442.8</v>
      </c>
      <c r="I16" s="24">
        <v>926.2</v>
      </c>
      <c r="J16" s="20">
        <f t="shared" si="0"/>
        <v>1336.3213600000001</v>
      </c>
      <c r="K16" s="20">
        <f t="shared" si="1"/>
        <v>1322.9581464</v>
      </c>
      <c r="L16" s="24">
        <v>65.900000000000006</v>
      </c>
      <c r="M16" s="25">
        <f t="shared" si="2"/>
        <v>95.080520000000007</v>
      </c>
      <c r="N16" s="26"/>
    </row>
    <row r="17" spans="2:14" x14ac:dyDescent="0.3">
      <c r="B17" s="14">
        <v>10</v>
      </c>
      <c r="C17" s="15">
        <v>1438</v>
      </c>
      <c r="D17" s="14">
        <v>929</v>
      </c>
      <c r="E17" s="16">
        <v>1335.9</v>
      </c>
      <c r="G17" s="23">
        <v>10</v>
      </c>
      <c r="H17" s="20">
        <v>1438</v>
      </c>
      <c r="I17" s="24">
        <v>925</v>
      </c>
      <c r="J17" s="20">
        <f t="shared" si="0"/>
        <v>1330.15</v>
      </c>
      <c r="K17" s="20">
        <f t="shared" si="1"/>
        <v>1316.8485000000001</v>
      </c>
      <c r="L17" s="24">
        <v>62.3</v>
      </c>
      <c r="M17" s="25">
        <f t="shared" si="2"/>
        <v>89.587399999999988</v>
      </c>
      <c r="N17" s="26"/>
    </row>
    <row r="18" spans="2:14" ht="16.2" thickBot="1" x14ac:dyDescent="0.35">
      <c r="B18" s="14">
        <v>11</v>
      </c>
      <c r="C18" s="15">
        <v>1351.9</v>
      </c>
      <c r="D18" s="14">
        <v>928</v>
      </c>
      <c r="E18" s="16">
        <v>1254.56</v>
      </c>
      <c r="G18" s="27">
        <v>11</v>
      </c>
      <c r="H18" s="28">
        <v>1352</v>
      </c>
      <c r="I18" s="29">
        <v>923.3</v>
      </c>
      <c r="J18" s="28">
        <f t="shared" si="0"/>
        <v>1248.3015999999998</v>
      </c>
      <c r="K18" s="30">
        <f t="shared" si="1"/>
        <v>1235.8185839999999</v>
      </c>
      <c r="L18" s="29">
        <v>60.1</v>
      </c>
      <c r="M18" s="31">
        <f t="shared" si="2"/>
        <v>81.255200000000002</v>
      </c>
      <c r="N18" s="26"/>
    </row>
    <row r="19" spans="2:14" ht="16.2" thickBot="1" x14ac:dyDescent="0.35">
      <c r="B19" s="14"/>
      <c r="C19" s="15"/>
      <c r="D19" s="14"/>
      <c r="E19" s="16"/>
      <c r="G19" s="32"/>
      <c r="H19" s="33">
        <f>SUM(H8:H18)</f>
        <v>19817.599999999999</v>
      </c>
      <c r="I19" s="34"/>
      <c r="J19" s="35">
        <f>SUM(J8:J18)</f>
        <v>18334.542219999999</v>
      </c>
      <c r="K19" s="36">
        <f>SUM(K8:K18)</f>
        <v>18151.196797800003</v>
      </c>
      <c r="L19" s="37"/>
      <c r="M19" s="38">
        <f>SUM(M8:M18)</f>
        <v>1245.5133000000001</v>
      </c>
      <c r="N19" s="39"/>
    </row>
    <row r="20" spans="2:14" x14ac:dyDescent="0.3">
      <c r="B20" s="14">
        <v>12</v>
      </c>
      <c r="C20" s="15">
        <v>1323.7</v>
      </c>
      <c r="D20" s="14">
        <v>918</v>
      </c>
      <c r="E20" s="16">
        <v>1215.1600000000001</v>
      </c>
      <c r="G20" s="40">
        <v>12</v>
      </c>
      <c r="H20" s="41">
        <v>1323.8</v>
      </c>
      <c r="I20" s="42">
        <v>923.7</v>
      </c>
      <c r="J20" s="41">
        <f t="shared" si="0"/>
        <v>1222.7940599999999</v>
      </c>
      <c r="K20" s="41">
        <f>J20*0.99</f>
        <v>1210.5661193999999</v>
      </c>
      <c r="L20" s="42">
        <v>64.599999999999994</v>
      </c>
      <c r="M20" s="43">
        <f t="shared" si="2"/>
        <v>85.517479999999992</v>
      </c>
      <c r="N20" s="44" t="s">
        <v>15</v>
      </c>
    </row>
    <row r="21" spans="2:14" x14ac:dyDescent="0.3">
      <c r="B21" s="14">
        <v>13</v>
      </c>
      <c r="C21" s="15">
        <v>1313.7</v>
      </c>
      <c r="D21" s="14">
        <v>927</v>
      </c>
      <c r="E21" s="16">
        <v>1217.8</v>
      </c>
      <c r="G21" s="45">
        <v>13</v>
      </c>
      <c r="H21" s="46">
        <v>1314</v>
      </c>
      <c r="I21" s="47">
        <v>928.5</v>
      </c>
      <c r="J21" s="46">
        <f t="shared" si="0"/>
        <v>1220.049</v>
      </c>
      <c r="K21" s="46">
        <f t="shared" ref="K21:K36" si="3">J21*0.99</f>
        <v>1207.84851</v>
      </c>
      <c r="L21" s="47">
        <v>64.599999999999994</v>
      </c>
      <c r="M21" s="48">
        <f t="shared" si="2"/>
        <v>84.884399999999999</v>
      </c>
      <c r="N21" s="49"/>
    </row>
    <row r="22" spans="2:14" x14ac:dyDescent="0.3">
      <c r="B22" s="14">
        <v>14</v>
      </c>
      <c r="C22" s="15">
        <v>1313.1</v>
      </c>
      <c r="D22" s="14">
        <v>932</v>
      </c>
      <c r="E22" s="16">
        <v>1223.81</v>
      </c>
      <c r="G22" s="45">
        <v>14</v>
      </c>
      <c r="H22" s="46">
        <v>1313.2</v>
      </c>
      <c r="I22" s="47">
        <v>931.7</v>
      </c>
      <c r="J22" s="46">
        <f t="shared" si="0"/>
        <v>1223.5084400000001</v>
      </c>
      <c r="K22" s="46">
        <f t="shared" si="3"/>
        <v>1211.2733556000001</v>
      </c>
      <c r="L22" s="47">
        <v>56.5</v>
      </c>
      <c r="M22" s="48">
        <f t="shared" si="2"/>
        <v>74.195800000000006</v>
      </c>
      <c r="N22" s="49"/>
    </row>
    <row r="23" spans="2:14" x14ac:dyDescent="0.3">
      <c r="B23" s="14">
        <v>15</v>
      </c>
      <c r="C23" s="15">
        <v>1310.3</v>
      </c>
      <c r="D23" s="14">
        <v>923</v>
      </c>
      <c r="E23" s="16">
        <v>1209.4100000000001</v>
      </c>
      <c r="G23" s="45">
        <v>15</v>
      </c>
      <c r="H23" s="46">
        <v>1310.4000000000001</v>
      </c>
      <c r="I23" s="47">
        <v>923.6</v>
      </c>
      <c r="J23" s="46">
        <f t="shared" si="0"/>
        <v>1210.2854400000001</v>
      </c>
      <c r="K23" s="46">
        <f t="shared" si="3"/>
        <v>1198.1825856</v>
      </c>
      <c r="L23" s="47">
        <v>72</v>
      </c>
      <c r="M23" s="48">
        <f t="shared" si="2"/>
        <v>94.348799999999997</v>
      </c>
      <c r="N23" s="49"/>
    </row>
    <row r="24" spans="2:14" x14ac:dyDescent="0.3">
      <c r="B24" s="14">
        <v>16</v>
      </c>
      <c r="C24" s="15">
        <v>1306.3</v>
      </c>
      <c r="D24" s="14">
        <v>924</v>
      </c>
      <c r="E24" s="16">
        <v>1207.02</v>
      </c>
      <c r="G24" s="45">
        <v>16</v>
      </c>
      <c r="H24" s="46">
        <v>1306.2</v>
      </c>
      <c r="I24" s="47">
        <v>919.3</v>
      </c>
      <c r="J24" s="46">
        <f t="shared" si="0"/>
        <v>1200.7896599999999</v>
      </c>
      <c r="K24" s="46">
        <f t="shared" si="3"/>
        <v>1188.7817633999998</v>
      </c>
      <c r="L24" s="47">
        <v>61.6</v>
      </c>
      <c r="M24" s="48">
        <f t="shared" si="2"/>
        <v>80.461919999999992</v>
      </c>
      <c r="N24" s="49"/>
    </row>
    <row r="25" spans="2:14" x14ac:dyDescent="0.3">
      <c r="B25" s="14">
        <v>17</v>
      </c>
      <c r="C25" s="15">
        <v>1293.2</v>
      </c>
      <c r="D25" s="14">
        <v>915</v>
      </c>
      <c r="E25" s="16">
        <v>1183.28</v>
      </c>
      <c r="G25" s="45">
        <v>17</v>
      </c>
      <c r="H25" s="46">
        <v>1293.2</v>
      </c>
      <c r="I25" s="47">
        <v>910.8</v>
      </c>
      <c r="J25" s="46">
        <f t="shared" si="0"/>
        <v>1177.84656</v>
      </c>
      <c r="K25" s="46">
        <f t="shared" si="3"/>
        <v>1166.0680943999998</v>
      </c>
      <c r="L25" s="47">
        <v>75.400000000000006</v>
      </c>
      <c r="M25" s="48">
        <f t="shared" si="2"/>
        <v>97.507280000000009</v>
      </c>
      <c r="N25" s="49"/>
    </row>
    <row r="26" spans="2:14" x14ac:dyDescent="0.3">
      <c r="B26" s="14">
        <v>18</v>
      </c>
      <c r="C26" s="15">
        <v>1289.2</v>
      </c>
      <c r="D26" s="14">
        <v>897</v>
      </c>
      <c r="E26" s="16">
        <v>1156.4100000000001</v>
      </c>
      <c r="G26" s="45">
        <v>18</v>
      </c>
      <c r="H26" s="46">
        <v>1289.2</v>
      </c>
      <c r="I26" s="47">
        <v>899</v>
      </c>
      <c r="J26" s="46">
        <f t="shared" si="0"/>
        <v>1158.9908</v>
      </c>
      <c r="K26" s="46">
        <f t="shared" si="3"/>
        <v>1147.4008920000001</v>
      </c>
      <c r="L26" s="47">
        <v>83.2</v>
      </c>
      <c r="M26" s="48">
        <f t="shared" si="2"/>
        <v>107.26144000000001</v>
      </c>
      <c r="N26" s="49"/>
    </row>
    <row r="27" spans="2:14" x14ac:dyDescent="0.3">
      <c r="B27" s="14">
        <v>19</v>
      </c>
      <c r="C27" s="15">
        <v>1279.4000000000001</v>
      </c>
      <c r="D27" s="14">
        <v>926</v>
      </c>
      <c r="E27" s="16">
        <v>1184.72</v>
      </c>
      <c r="G27" s="45">
        <v>19</v>
      </c>
      <c r="H27" s="46">
        <v>1279.5999999999999</v>
      </c>
      <c r="I27" s="47">
        <v>925.3</v>
      </c>
      <c r="J27" s="46">
        <f t="shared" si="0"/>
        <v>1184.01388</v>
      </c>
      <c r="K27" s="46">
        <f t="shared" si="3"/>
        <v>1172.1737412</v>
      </c>
      <c r="L27" s="47">
        <v>65.5</v>
      </c>
      <c r="M27" s="48">
        <f t="shared" si="2"/>
        <v>83.813799999999986</v>
      </c>
      <c r="N27" s="49"/>
    </row>
    <row r="28" spans="2:14" x14ac:dyDescent="0.3">
      <c r="B28" s="14">
        <v>20</v>
      </c>
      <c r="C28" s="15">
        <v>1261.5999999999999</v>
      </c>
      <c r="D28" s="14">
        <v>925</v>
      </c>
      <c r="E28" s="16">
        <v>1166.98</v>
      </c>
      <c r="G28" s="45">
        <v>20</v>
      </c>
      <c r="H28" s="46">
        <v>1261.8</v>
      </c>
      <c r="I28" s="47">
        <v>918.9</v>
      </c>
      <c r="J28" s="46">
        <f t="shared" si="0"/>
        <v>1159.46802</v>
      </c>
      <c r="K28" s="46">
        <f t="shared" si="3"/>
        <v>1147.8733397999999</v>
      </c>
      <c r="L28" s="47">
        <v>70.2</v>
      </c>
      <c r="M28" s="48">
        <f t="shared" si="2"/>
        <v>88.578360000000004</v>
      </c>
      <c r="N28" s="49"/>
    </row>
    <row r="29" spans="2:14" x14ac:dyDescent="0.3">
      <c r="B29" s="14">
        <v>21</v>
      </c>
      <c r="C29" s="15">
        <v>1235.7</v>
      </c>
      <c r="D29" s="14">
        <v>920</v>
      </c>
      <c r="E29" s="16">
        <v>1136.8399999999999</v>
      </c>
      <c r="G29" s="45">
        <v>21</v>
      </c>
      <c r="H29" s="46">
        <v>1235.8</v>
      </c>
      <c r="I29" s="47">
        <v>922</v>
      </c>
      <c r="J29" s="46">
        <f t="shared" si="0"/>
        <v>1139.4075999999998</v>
      </c>
      <c r="K29" s="46">
        <f t="shared" si="3"/>
        <v>1128.0135239999997</v>
      </c>
      <c r="L29" s="47">
        <v>62.8</v>
      </c>
      <c r="M29" s="48">
        <f t="shared" si="2"/>
        <v>77.608239999999995</v>
      </c>
      <c r="N29" s="49"/>
    </row>
    <row r="30" spans="2:14" x14ac:dyDescent="0.3">
      <c r="B30" s="14">
        <v>22</v>
      </c>
      <c r="C30" s="15">
        <v>1221.7</v>
      </c>
      <c r="D30" s="14">
        <v>924</v>
      </c>
      <c r="E30" s="16">
        <v>1128.8499999999999</v>
      </c>
      <c r="G30" s="45">
        <v>22</v>
      </c>
      <c r="H30" s="46">
        <v>1221.8</v>
      </c>
      <c r="I30" s="47">
        <v>923.6</v>
      </c>
      <c r="J30" s="46">
        <f t="shared" si="0"/>
        <v>1128.4544799999999</v>
      </c>
      <c r="K30" s="46">
        <f t="shared" si="3"/>
        <v>1117.1699351999998</v>
      </c>
      <c r="L30" s="47">
        <v>66</v>
      </c>
      <c r="M30" s="48">
        <f t="shared" si="2"/>
        <v>80.638800000000003</v>
      </c>
      <c r="N30" s="49"/>
    </row>
    <row r="31" spans="2:14" x14ac:dyDescent="0.3">
      <c r="B31" s="14">
        <v>23</v>
      </c>
      <c r="C31" s="15">
        <v>1189.5999999999999</v>
      </c>
      <c r="D31" s="14">
        <v>916</v>
      </c>
      <c r="E31" s="16">
        <v>1089.67</v>
      </c>
      <c r="G31" s="45">
        <v>23</v>
      </c>
      <c r="H31" s="46">
        <v>1189.8</v>
      </c>
      <c r="I31" s="47">
        <v>920.2</v>
      </c>
      <c r="J31" s="46">
        <f t="shared" si="0"/>
        <v>1094.8539599999999</v>
      </c>
      <c r="K31" s="46">
        <f t="shared" si="3"/>
        <v>1083.9054203999999</v>
      </c>
      <c r="L31" s="47">
        <v>62.7</v>
      </c>
      <c r="M31" s="48">
        <f t="shared" si="2"/>
        <v>74.600460000000012</v>
      </c>
      <c r="N31" s="49"/>
    </row>
    <row r="32" spans="2:14" x14ac:dyDescent="0.3">
      <c r="B32" s="14">
        <v>24</v>
      </c>
      <c r="C32" s="15">
        <v>1157.2</v>
      </c>
      <c r="D32" s="14">
        <v>924</v>
      </c>
      <c r="E32" s="16">
        <v>1069.25</v>
      </c>
      <c r="G32" s="45">
        <v>24</v>
      </c>
      <c r="H32" s="46">
        <v>1157.2</v>
      </c>
      <c r="I32" s="47">
        <v>917.3</v>
      </c>
      <c r="J32" s="46">
        <f t="shared" si="0"/>
        <v>1061.49956</v>
      </c>
      <c r="K32" s="46">
        <f t="shared" si="3"/>
        <v>1050.8845644</v>
      </c>
      <c r="L32" s="47">
        <v>55.7</v>
      </c>
      <c r="M32" s="48">
        <f t="shared" si="2"/>
        <v>64.456040000000002</v>
      </c>
      <c r="N32" s="49"/>
    </row>
    <row r="33" spans="2:14" x14ac:dyDescent="0.3">
      <c r="B33" s="14">
        <v>25</v>
      </c>
      <c r="C33" s="15">
        <v>1138.7</v>
      </c>
      <c r="D33" s="14">
        <v>928</v>
      </c>
      <c r="E33" s="16">
        <v>1056.71</v>
      </c>
      <c r="G33" s="45">
        <v>25</v>
      </c>
      <c r="H33" s="46">
        <v>1138.8</v>
      </c>
      <c r="I33" s="47">
        <v>927.2</v>
      </c>
      <c r="J33" s="46">
        <f t="shared" si="0"/>
        <v>1055.8953600000002</v>
      </c>
      <c r="K33" s="46">
        <f t="shared" si="3"/>
        <v>1045.3364064000002</v>
      </c>
      <c r="L33" s="47">
        <v>60</v>
      </c>
      <c r="M33" s="48">
        <f t="shared" si="2"/>
        <v>68.328000000000003</v>
      </c>
      <c r="N33" s="49"/>
    </row>
    <row r="34" spans="2:14" x14ac:dyDescent="0.3">
      <c r="B34" s="14">
        <v>26</v>
      </c>
      <c r="C34" s="15">
        <v>1132.0999999999999</v>
      </c>
      <c r="D34" s="14">
        <v>895</v>
      </c>
      <c r="E34" s="16">
        <v>1013.23</v>
      </c>
      <c r="G34" s="45">
        <v>26</v>
      </c>
      <c r="H34" s="46">
        <v>1132.2</v>
      </c>
      <c r="I34" s="47">
        <v>896.9</v>
      </c>
      <c r="J34" s="46">
        <f t="shared" si="0"/>
        <v>1015.47018</v>
      </c>
      <c r="K34" s="46">
        <f t="shared" si="3"/>
        <v>1005.3154782</v>
      </c>
      <c r="L34" s="47">
        <v>91.6</v>
      </c>
      <c r="M34" s="48">
        <f t="shared" si="2"/>
        <v>103.70952</v>
      </c>
      <c r="N34" s="49"/>
    </row>
    <row r="35" spans="2:14" x14ac:dyDescent="0.3">
      <c r="B35" s="14">
        <v>27</v>
      </c>
      <c r="C35" s="15">
        <v>1090</v>
      </c>
      <c r="D35" s="14">
        <v>907</v>
      </c>
      <c r="E35" s="14">
        <v>988.63</v>
      </c>
      <c r="G35" s="45">
        <v>27</v>
      </c>
      <c r="H35" s="46">
        <v>1090</v>
      </c>
      <c r="I35" s="47">
        <v>903.5</v>
      </c>
      <c r="J35" s="46">
        <f t="shared" si="0"/>
        <v>984.81500000000005</v>
      </c>
      <c r="K35" s="46">
        <f t="shared" si="3"/>
        <v>974.96685000000002</v>
      </c>
      <c r="L35" s="47">
        <v>50.6</v>
      </c>
      <c r="M35" s="48">
        <f t="shared" si="2"/>
        <v>55.154000000000003</v>
      </c>
      <c r="N35" s="49"/>
    </row>
    <row r="36" spans="2:14" ht="16.2" thickBot="1" x14ac:dyDescent="0.35">
      <c r="B36" s="14">
        <v>28</v>
      </c>
      <c r="C36" s="15">
        <v>1081.4000000000001</v>
      </c>
      <c r="D36" s="14">
        <v>933</v>
      </c>
      <c r="E36" s="16">
        <v>1008.95</v>
      </c>
      <c r="G36" s="50">
        <v>28</v>
      </c>
      <c r="H36" s="51">
        <v>1081.5999999999999</v>
      </c>
      <c r="I36" s="52">
        <v>930.4</v>
      </c>
      <c r="J36" s="51">
        <f t="shared" si="0"/>
        <v>1006.3206399999999</v>
      </c>
      <c r="K36" s="51">
        <f t="shared" si="3"/>
        <v>996.2574335999999</v>
      </c>
      <c r="L36" s="52">
        <v>57.1</v>
      </c>
      <c r="M36" s="53">
        <f t="shared" si="2"/>
        <v>61.759359999999994</v>
      </c>
      <c r="N36" s="49"/>
    </row>
    <row r="37" spans="2:14" ht="16.2" thickBot="1" x14ac:dyDescent="0.35">
      <c r="B37" s="14"/>
      <c r="C37" s="15"/>
      <c r="D37" s="14"/>
      <c r="E37" s="16"/>
      <c r="G37" s="54"/>
      <c r="H37" s="55">
        <f>SUM(H20:H36)</f>
        <v>20938.599999999995</v>
      </c>
      <c r="I37" s="56"/>
      <c r="J37" s="55">
        <f>SUM(J20:J36)</f>
        <v>19244.462639999998</v>
      </c>
      <c r="K37" s="55">
        <f>SUM(K20:K36)</f>
        <v>19052.018013599998</v>
      </c>
      <c r="L37" s="56"/>
      <c r="M37" s="57">
        <f>SUM(M20:M36)</f>
        <v>1382.8237000000004</v>
      </c>
      <c r="N37" s="58"/>
    </row>
    <row r="38" spans="2:14" x14ac:dyDescent="0.3">
      <c r="B38" s="14">
        <v>29</v>
      </c>
      <c r="C38" s="15">
        <v>1081</v>
      </c>
      <c r="D38" s="14">
        <v>976</v>
      </c>
      <c r="E38" s="16">
        <v>1055.06</v>
      </c>
      <c r="G38" s="59">
        <v>29</v>
      </c>
      <c r="H38" s="60">
        <v>1081.2</v>
      </c>
      <c r="I38" s="61">
        <v>976</v>
      </c>
      <c r="J38" s="60">
        <f t="shared" si="0"/>
        <v>1055.2511999999999</v>
      </c>
      <c r="K38" s="60">
        <f>J38*0.99</f>
        <v>1044.6986879999999</v>
      </c>
      <c r="L38" s="61">
        <v>23.2</v>
      </c>
      <c r="M38" s="62">
        <f t="shared" si="2"/>
        <v>25.083839999999999</v>
      </c>
      <c r="N38" s="22" t="s">
        <v>16</v>
      </c>
    </row>
    <row r="39" spans="2:14" x14ac:dyDescent="0.3">
      <c r="B39" s="14">
        <v>30</v>
      </c>
      <c r="C39" s="15">
        <v>1078.4000000000001</v>
      </c>
      <c r="D39" s="14">
        <v>922</v>
      </c>
      <c r="E39" s="14">
        <v>994.28</v>
      </c>
      <c r="G39" s="23">
        <v>30</v>
      </c>
      <c r="H39" s="20">
        <v>1078.5999999999999</v>
      </c>
      <c r="I39" s="24">
        <v>919.9</v>
      </c>
      <c r="J39" s="20">
        <f t="shared" si="0"/>
        <v>992.20413999999994</v>
      </c>
      <c r="K39" s="20">
        <f t="shared" ref="K39:K50" si="4">J39*0.99</f>
        <v>982.28209859999993</v>
      </c>
      <c r="L39" s="24">
        <v>74.8</v>
      </c>
      <c r="M39" s="25">
        <f t="shared" si="2"/>
        <v>80.679279999999977</v>
      </c>
      <c r="N39" s="26"/>
    </row>
    <row r="40" spans="2:14" x14ac:dyDescent="0.3">
      <c r="B40" s="14">
        <v>31</v>
      </c>
      <c r="C40" s="15">
        <v>1068.5</v>
      </c>
      <c r="D40" s="14">
        <v>922.06</v>
      </c>
      <c r="E40" s="14">
        <v>985.22</v>
      </c>
      <c r="G40" s="23">
        <v>31</v>
      </c>
      <c r="H40" s="20">
        <v>1068.5999999999999</v>
      </c>
      <c r="I40" s="24">
        <v>921</v>
      </c>
      <c r="J40" s="20">
        <f t="shared" si="0"/>
        <v>984.18059999999991</v>
      </c>
      <c r="K40" s="20">
        <f t="shared" si="4"/>
        <v>974.33879399999989</v>
      </c>
      <c r="L40" s="24">
        <v>68.400000000000006</v>
      </c>
      <c r="M40" s="25">
        <f t="shared" si="2"/>
        <v>73.092240000000004</v>
      </c>
      <c r="N40" s="26"/>
    </row>
    <row r="41" spans="2:14" x14ac:dyDescent="0.3">
      <c r="B41" s="14">
        <v>32</v>
      </c>
      <c r="C41" s="15">
        <v>1067.3</v>
      </c>
      <c r="D41" s="14">
        <v>939.07</v>
      </c>
      <c r="E41" s="16">
        <v>1002.27</v>
      </c>
      <c r="G41" s="23">
        <v>32</v>
      </c>
      <c r="H41" s="20">
        <v>1067.2</v>
      </c>
      <c r="I41" s="24">
        <v>936.6</v>
      </c>
      <c r="J41" s="20">
        <f t="shared" si="0"/>
        <v>999.53952000000004</v>
      </c>
      <c r="K41" s="20">
        <f t="shared" si="4"/>
        <v>989.54412480000008</v>
      </c>
      <c r="L41" s="24">
        <v>58.5</v>
      </c>
      <c r="M41" s="25">
        <f t="shared" si="2"/>
        <v>62.431200000000004</v>
      </c>
      <c r="N41" s="26"/>
    </row>
    <row r="42" spans="2:14" x14ac:dyDescent="0.3">
      <c r="B42" s="14">
        <v>33</v>
      </c>
      <c r="C42" s="15">
        <v>1066.5</v>
      </c>
      <c r="D42" s="14">
        <v>936.08</v>
      </c>
      <c r="E42" s="14">
        <v>998.33</v>
      </c>
      <c r="G42" s="23">
        <v>33</v>
      </c>
      <c r="H42" s="20">
        <v>1066.4000000000001</v>
      </c>
      <c r="I42" s="24">
        <v>932.4</v>
      </c>
      <c r="J42" s="20">
        <f t="shared" si="0"/>
        <v>994.31136000000015</v>
      </c>
      <c r="K42" s="20">
        <f t="shared" si="4"/>
        <v>984.36824640000009</v>
      </c>
      <c r="L42" s="24">
        <v>53.4</v>
      </c>
      <c r="M42" s="25">
        <f t="shared" si="2"/>
        <v>56.94576</v>
      </c>
      <c r="N42" s="26"/>
    </row>
    <row r="43" spans="2:14" x14ac:dyDescent="0.3">
      <c r="B43" s="14">
        <v>34</v>
      </c>
      <c r="C43" s="15">
        <v>1066</v>
      </c>
      <c r="D43" s="14">
        <v>921.07</v>
      </c>
      <c r="E43" s="14">
        <v>981.86</v>
      </c>
      <c r="G43" s="23">
        <v>34</v>
      </c>
      <c r="H43" s="20">
        <v>1065.8</v>
      </c>
      <c r="I43" s="24">
        <v>921</v>
      </c>
      <c r="J43" s="20">
        <f t="shared" si="0"/>
        <v>981.60179999999991</v>
      </c>
      <c r="K43" s="20">
        <f t="shared" si="4"/>
        <v>971.78578199999993</v>
      </c>
      <c r="L43" s="24">
        <v>66.599999999999994</v>
      </c>
      <c r="M43" s="25">
        <f t="shared" si="2"/>
        <v>70.982279999999989</v>
      </c>
      <c r="N43" s="26"/>
    </row>
    <row r="44" spans="2:14" x14ac:dyDescent="0.3">
      <c r="B44" s="14">
        <v>35</v>
      </c>
      <c r="C44" s="15">
        <v>1061</v>
      </c>
      <c r="D44" s="14">
        <v>910.07</v>
      </c>
      <c r="E44" s="14">
        <v>965.58</v>
      </c>
      <c r="G44" s="23">
        <v>35</v>
      </c>
      <c r="H44" s="20">
        <v>1060.4000000000001</v>
      </c>
      <c r="I44" s="24">
        <v>907.5</v>
      </c>
      <c r="J44" s="20">
        <f t="shared" si="0"/>
        <v>962.3130000000001</v>
      </c>
      <c r="K44" s="20">
        <f t="shared" si="4"/>
        <v>952.68987000000004</v>
      </c>
      <c r="L44" s="24">
        <v>57</v>
      </c>
      <c r="M44" s="25">
        <f t="shared" si="2"/>
        <v>60.442800000000005</v>
      </c>
      <c r="N44" s="26"/>
    </row>
    <row r="45" spans="2:14" x14ac:dyDescent="0.3">
      <c r="B45" s="14">
        <v>36</v>
      </c>
      <c r="C45" s="15">
        <v>1050.5999999999999</v>
      </c>
      <c r="D45" s="14">
        <v>931.07</v>
      </c>
      <c r="E45" s="14">
        <v>978.18</v>
      </c>
      <c r="G45" s="23">
        <v>36</v>
      </c>
      <c r="H45" s="20">
        <v>1050.5999999999999</v>
      </c>
      <c r="I45" s="24">
        <v>931.2</v>
      </c>
      <c r="J45" s="20">
        <f t="shared" si="0"/>
        <v>978.31871999999998</v>
      </c>
      <c r="K45" s="20">
        <f t="shared" si="4"/>
        <v>968.53553279999994</v>
      </c>
      <c r="L45" s="24">
        <v>59.2</v>
      </c>
      <c r="M45" s="25">
        <f t="shared" si="2"/>
        <v>62.195519999999995</v>
      </c>
      <c r="N45" s="26"/>
    </row>
    <row r="46" spans="2:14" x14ac:dyDescent="0.3">
      <c r="B46" s="14">
        <v>37</v>
      </c>
      <c r="C46" s="15">
        <v>1809.8</v>
      </c>
      <c r="D46" s="14">
        <v>910.07</v>
      </c>
      <c r="E46" s="16">
        <v>1647.04</v>
      </c>
      <c r="G46" s="23">
        <v>37</v>
      </c>
      <c r="H46" s="20">
        <v>1810.2</v>
      </c>
      <c r="I46" s="24">
        <v>911</v>
      </c>
      <c r="J46" s="20">
        <f t="shared" si="0"/>
        <v>1649.0922</v>
      </c>
      <c r="K46" s="20">
        <f t="shared" si="4"/>
        <v>1632.6012780000001</v>
      </c>
      <c r="L46" s="24">
        <v>64.3</v>
      </c>
      <c r="M46" s="25">
        <f t="shared" si="2"/>
        <v>116.39586</v>
      </c>
      <c r="N46" s="26"/>
    </row>
    <row r="47" spans="2:14" x14ac:dyDescent="0.3">
      <c r="B47" s="14">
        <v>38</v>
      </c>
      <c r="C47" s="15">
        <v>1734.2</v>
      </c>
      <c r="D47" s="14">
        <v>902.08</v>
      </c>
      <c r="E47" s="16">
        <v>1564.39</v>
      </c>
      <c r="G47" s="23">
        <v>38</v>
      </c>
      <c r="H47" s="20">
        <v>1734.2</v>
      </c>
      <c r="I47" s="24">
        <v>904</v>
      </c>
      <c r="J47" s="20">
        <f t="shared" si="0"/>
        <v>1567.7168000000001</v>
      </c>
      <c r="K47" s="20">
        <f t="shared" si="4"/>
        <v>1552.0396320000002</v>
      </c>
      <c r="L47" s="24">
        <v>74.5</v>
      </c>
      <c r="M47" s="25">
        <f t="shared" si="2"/>
        <v>129.1979</v>
      </c>
      <c r="N47" s="26"/>
    </row>
    <row r="48" spans="2:14" x14ac:dyDescent="0.3">
      <c r="B48" s="14">
        <v>39</v>
      </c>
      <c r="C48" s="15">
        <v>1709.5</v>
      </c>
      <c r="D48" s="14">
        <v>912.06</v>
      </c>
      <c r="E48" s="16">
        <v>1559.17</v>
      </c>
      <c r="G48" s="23">
        <v>39</v>
      </c>
      <c r="H48" s="20">
        <v>1709.2</v>
      </c>
      <c r="I48" s="24">
        <v>910.8</v>
      </c>
      <c r="J48" s="20">
        <f t="shared" si="0"/>
        <v>1556.7393599999998</v>
      </c>
      <c r="K48" s="20">
        <f t="shared" si="4"/>
        <v>1541.1719663999997</v>
      </c>
      <c r="L48" s="24">
        <v>71.8</v>
      </c>
      <c r="M48" s="25">
        <f t="shared" si="2"/>
        <v>122.72055999999999</v>
      </c>
      <c r="N48" s="26"/>
    </row>
    <row r="49" spans="2:15" x14ac:dyDescent="0.3">
      <c r="B49" s="14">
        <v>40</v>
      </c>
      <c r="C49" s="15">
        <v>1292.0999999999999</v>
      </c>
      <c r="D49" s="14">
        <v>902.06</v>
      </c>
      <c r="E49" s="16">
        <v>1165.55</v>
      </c>
      <c r="G49" s="23">
        <v>40</v>
      </c>
      <c r="H49" s="20">
        <v>1292</v>
      </c>
      <c r="I49" s="24">
        <v>900.8</v>
      </c>
      <c r="J49" s="20">
        <f t="shared" si="0"/>
        <v>1163.8335999999999</v>
      </c>
      <c r="K49" s="20">
        <f t="shared" si="4"/>
        <v>1152.195264</v>
      </c>
      <c r="L49" s="24">
        <v>81.599999999999994</v>
      </c>
      <c r="M49" s="25">
        <f t="shared" si="2"/>
        <v>105.4272</v>
      </c>
      <c r="N49" s="26"/>
      <c r="O49" s="63"/>
    </row>
    <row r="50" spans="2:15" ht="16.2" thickBot="1" x14ac:dyDescent="0.35">
      <c r="B50" s="14">
        <v>41</v>
      </c>
      <c r="C50" s="15">
        <v>1260.4000000000001</v>
      </c>
      <c r="D50" s="64">
        <v>913.09</v>
      </c>
      <c r="E50" s="65">
        <v>1150.8599999999999</v>
      </c>
      <c r="G50" s="66">
        <v>41</v>
      </c>
      <c r="H50" s="30">
        <v>1260.4000000000001</v>
      </c>
      <c r="I50" s="67">
        <v>894.3</v>
      </c>
      <c r="J50" s="30">
        <f t="shared" si="0"/>
        <v>1127.17572</v>
      </c>
      <c r="K50" s="30">
        <f t="shared" si="4"/>
        <v>1115.9039628</v>
      </c>
      <c r="L50" s="67">
        <v>62.4</v>
      </c>
      <c r="M50" s="68">
        <f t="shared" si="2"/>
        <v>78.648960000000002</v>
      </c>
      <c r="N50" s="26"/>
    </row>
    <row r="51" spans="2:15" ht="16.2" thickBot="1" x14ac:dyDescent="0.35">
      <c r="B51" s="14"/>
      <c r="C51" s="15"/>
      <c r="D51" s="64"/>
      <c r="E51" s="65"/>
      <c r="G51" s="69"/>
      <c r="H51" s="33">
        <f>SUM(H38:H50)</f>
        <v>16344.800000000003</v>
      </c>
      <c r="I51" s="70"/>
      <c r="J51" s="33">
        <f>SUM(J38:J50)</f>
        <v>15012.27802</v>
      </c>
      <c r="K51" s="33">
        <f>SUM(K38:K50)</f>
        <v>14862.155239799999</v>
      </c>
      <c r="L51" s="70"/>
      <c r="M51" s="38">
        <f>SUM(M38:M50)</f>
        <v>1044.2433999999998</v>
      </c>
      <c r="N51" s="39"/>
    </row>
    <row r="52" spans="2:15" x14ac:dyDescent="0.3">
      <c r="B52" s="14">
        <v>42</v>
      </c>
      <c r="C52" s="15">
        <v>1258.2</v>
      </c>
      <c r="D52" s="14">
        <v>916.08</v>
      </c>
      <c r="E52" s="16">
        <v>1152.6099999999999</v>
      </c>
      <c r="G52" s="40">
        <v>42</v>
      </c>
      <c r="H52" s="41">
        <v>1258.2</v>
      </c>
      <c r="I52" s="42">
        <v>909.1</v>
      </c>
      <c r="J52" s="41">
        <f t="shared" si="0"/>
        <v>1143.8296200000002</v>
      </c>
      <c r="K52" s="41">
        <f>J52*0.99</f>
        <v>1132.3913238000002</v>
      </c>
      <c r="L52" s="42">
        <v>52.3</v>
      </c>
      <c r="M52" s="43">
        <f t="shared" si="2"/>
        <v>65.80386</v>
      </c>
      <c r="N52" s="44" t="s">
        <v>17</v>
      </c>
    </row>
    <row r="53" spans="2:15" x14ac:dyDescent="0.3">
      <c r="B53" s="14">
        <v>43</v>
      </c>
      <c r="C53" s="15">
        <v>1245.5999999999999</v>
      </c>
      <c r="D53" s="14">
        <v>975.11</v>
      </c>
      <c r="E53" s="16">
        <v>1214.5999999999999</v>
      </c>
      <c r="G53" s="45">
        <v>43</v>
      </c>
      <c r="H53" s="46">
        <v>1245.4000000000001</v>
      </c>
      <c r="I53" s="47">
        <v>975.8</v>
      </c>
      <c r="J53" s="46">
        <f t="shared" si="0"/>
        <v>1215.2613200000001</v>
      </c>
      <c r="K53" s="46">
        <f t="shared" ref="K53:K64" si="5">J53*0.99</f>
        <v>1203.1087068000002</v>
      </c>
      <c r="L53" s="47">
        <v>23.2</v>
      </c>
      <c r="M53" s="48">
        <f t="shared" si="2"/>
        <v>28.893280000000001</v>
      </c>
      <c r="N53" s="49"/>
    </row>
    <row r="54" spans="2:15" x14ac:dyDescent="0.3">
      <c r="B54" s="14">
        <v>44</v>
      </c>
      <c r="C54" s="15">
        <v>1242</v>
      </c>
      <c r="D54" s="14">
        <v>929.06</v>
      </c>
      <c r="E54" s="16">
        <v>1153.8900000000001</v>
      </c>
      <c r="G54" s="45">
        <v>44</v>
      </c>
      <c r="H54" s="46">
        <v>1241.8</v>
      </c>
      <c r="I54" s="47">
        <v>925.8</v>
      </c>
      <c r="J54" s="46">
        <f t="shared" si="0"/>
        <v>1149.6584399999999</v>
      </c>
      <c r="K54" s="46">
        <f t="shared" si="5"/>
        <v>1138.1618555999999</v>
      </c>
      <c r="L54" s="47">
        <v>58.5</v>
      </c>
      <c r="M54" s="48">
        <f t="shared" si="2"/>
        <v>72.645300000000006</v>
      </c>
      <c r="N54" s="49"/>
    </row>
    <row r="55" spans="2:15" x14ac:dyDescent="0.3">
      <c r="B55" s="14">
        <v>45</v>
      </c>
      <c r="C55" s="15">
        <v>1231.3</v>
      </c>
      <c r="D55" s="14">
        <v>929.07</v>
      </c>
      <c r="E55" s="16">
        <v>1143.96</v>
      </c>
      <c r="G55" s="45">
        <v>45</v>
      </c>
      <c r="H55" s="46">
        <v>1231.2</v>
      </c>
      <c r="I55" s="47">
        <v>928.8</v>
      </c>
      <c r="J55" s="46">
        <f t="shared" si="0"/>
        <v>1143.53856</v>
      </c>
      <c r="K55" s="46">
        <f t="shared" si="5"/>
        <v>1132.1031743999999</v>
      </c>
      <c r="L55" s="47">
        <v>61.2</v>
      </c>
      <c r="M55" s="48">
        <f t="shared" si="2"/>
        <v>75.349440000000001</v>
      </c>
      <c r="N55" s="49"/>
    </row>
    <row r="56" spans="2:15" x14ac:dyDescent="0.3">
      <c r="B56" s="14">
        <v>46</v>
      </c>
      <c r="C56" s="15">
        <v>1192.3</v>
      </c>
      <c r="D56" s="14">
        <v>924.06</v>
      </c>
      <c r="E56" s="16">
        <v>1101.76</v>
      </c>
      <c r="G56" s="45">
        <v>46</v>
      </c>
      <c r="H56" s="46">
        <v>1192.2</v>
      </c>
      <c r="I56" s="47">
        <v>923.2</v>
      </c>
      <c r="J56" s="46">
        <f t="shared" si="0"/>
        <v>1100.63904</v>
      </c>
      <c r="K56" s="46">
        <f t="shared" si="5"/>
        <v>1089.6326495999999</v>
      </c>
      <c r="L56" s="47">
        <v>60.22</v>
      </c>
      <c r="M56" s="48">
        <f t="shared" si="2"/>
        <v>71.794284000000005</v>
      </c>
      <c r="N56" s="49"/>
    </row>
    <row r="57" spans="2:15" x14ac:dyDescent="0.3">
      <c r="B57" s="14">
        <v>47</v>
      </c>
      <c r="C57" s="15">
        <v>1171.5999999999999</v>
      </c>
      <c r="D57" s="14">
        <v>929.07</v>
      </c>
      <c r="E57" s="16">
        <v>1088.5</v>
      </c>
      <c r="G57" s="40">
        <v>47</v>
      </c>
      <c r="H57" s="41">
        <v>1171.5999999999999</v>
      </c>
      <c r="I57" s="42">
        <v>931.1</v>
      </c>
      <c r="J57" s="41">
        <f t="shared" si="0"/>
        <v>1090.8767600000001</v>
      </c>
      <c r="K57" s="46">
        <f t="shared" si="5"/>
        <v>1079.9679924000002</v>
      </c>
      <c r="L57" s="42">
        <v>56.7</v>
      </c>
      <c r="M57" s="43">
        <f t="shared" si="2"/>
        <v>66.429720000000003</v>
      </c>
      <c r="N57" s="49"/>
    </row>
    <row r="58" spans="2:15" x14ac:dyDescent="0.3">
      <c r="B58" s="14">
        <v>48</v>
      </c>
      <c r="C58" s="15">
        <v>1161.0999999999999</v>
      </c>
      <c r="D58" s="14">
        <v>930.08</v>
      </c>
      <c r="E58" s="16">
        <v>1079.92</v>
      </c>
      <c r="G58" s="45">
        <v>48</v>
      </c>
      <c r="H58" s="46">
        <v>1161.2</v>
      </c>
      <c r="I58" s="47">
        <v>931.7</v>
      </c>
      <c r="J58" s="46">
        <f t="shared" si="0"/>
        <v>1081.89004</v>
      </c>
      <c r="K58" s="46">
        <f t="shared" si="5"/>
        <v>1071.0711395999999</v>
      </c>
      <c r="L58" s="47">
        <v>62.6</v>
      </c>
      <c r="M58" s="48">
        <f t="shared" si="2"/>
        <v>72.691120000000012</v>
      </c>
      <c r="N58" s="49"/>
    </row>
    <row r="59" spans="2:15" x14ac:dyDescent="0.3">
      <c r="B59" s="14">
        <v>49</v>
      </c>
      <c r="C59" s="15">
        <v>1159.7</v>
      </c>
      <c r="D59" s="14">
        <v>929.06</v>
      </c>
      <c r="E59" s="16">
        <v>1077.43</v>
      </c>
      <c r="G59" s="45">
        <v>49</v>
      </c>
      <c r="H59" s="46">
        <v>1159.8</v>
      </c>
      <c r="I59" s="47">
        <v>929.6</v>
      </c>
      <c r="J59" s="46">
        <f t="shared" si="0"/>
        <v>1078.1500800000001</v>
      </c>
      <c r="K59" s="46">
        <f t="shared" si="5"/>
        <v>1067.3685792000001</v>
      </c>
      <c r="L59" s="47">
        <v>57.9</v>
      </c>
      <c r="M59" s="48">
        <f t="shared" si="2"/>
        <v>67.152419999999992</v>
      </c>
      <c r="N59" s="49"/>
    </row>
    <row r="60" spans="2:15" x14ac:dyDescent="0.3">
      <c r="B60" s="14">
        <v>50</v>
      </c>
      <c r="C60" s="15">
        <v>1154.5</v>
      </c>
      <c r="D60" s="14">
        <v>937.07</v>
      </c>
      <c r="E60" s="16">
        <v>1081.8499999999999</v>
      </c>
      <c r="G60" s="45">
        <v>50</v>
      </c>
      <c r="H60" s="46">
        <v>1154.4000000000001</v>
      </c>
      <c r="I60" s="47">
        <v>936.7</v>
      </c>
      <c r="J60" s="46">
        <f t="shared" si="0"/>
        <v>1081.3264800000002</v>
      </c>
      <c r="K60" s="46">
        <f t="shared" si="5"/>
        <v>1070.5132152000001</v>
      </c>
      <c r="L60" s="47">
        <v>54.2</v>
      </c>
      <c r="M60" s="48">
        <f t="shared" si="2"/>
        <v>62.568480000000008</v>
      </c>
      <c r="N60" s="49"/>
    </row>
    <row r="61" spans="2:15" x14ac:dyDescent="0.3">
      <c r="B61" s="14">
        <v>51</v>
      </c>
      <c r="C61" s="15">
        <v>1150.4000000000001</v>
      </c>
      <c r="D61" s="14">
        <v>915.08</v>
      </c>
      <c r="E61" s="16">
        <v>1052.71</v>
      </c>
      <c r="G61" s="45">
        <v>51</v>
      </c>
      <c r="H61" s="46">
        <v>1150.4000000000001</v>
      </c>
      <c r="I61" s="47">
        <v>925</v>
      </c>
      <c r="J61" s="46">
        <f t="shared" si="0"/>
        <v>1064.1199999999999</v>
      </c>
      <c r="K61" s="46">
        <f t="shared" si="5"/>
        <v>1053.4787999999999</v>
      </c>
      <c r="L61" s="47">
        <v>53.3</v>
      </c>
      <c r="M61" s="48">
        <f t="shared" si="2"/>
        <v>61.316319999999997</v>
      </c>
      <c r="N61" s="49"/>
    </row>
    <row r="62" spans="2:15" x14ac:dyDescent="0.3">
      <c r="B62" s="14">
        <v>52</v>
      </c>
      <c r="C62" s="15">
        <v>1142.2</v>
      </c>
      <c r="D62" s="14">
        <v>946.06</v>
      </c>
      <c r="E62" s="16">
        <v>1080.5899999999999</v>
      </c>
      <c r="G62" s="45">
        <v>52</v>
      </c>
      <c r="H62" s="46">
        <v>1142</v>
      </c>
      <c r="I62" s="47">
        <v>945.2</v>
      </c>
      <c r="J62" s="46">
        <f t="shared" si="0"/>
        <v>1079.4184000000002</v>
      </c>
      <c r="K62" s="46">
        <f t="shared" si="5"/>
        <v>1068.6242160000002</v>
      </c>
      <c r="L62" s="47">
        <v>48.7</v>
      </c>
      <c r="M62" s="48">
        <f t="shared" si="2"/>
        <v>55.615400000000001</v>
      </c>
      <c r="N62" s="49"/>
    </row>
    <row r="63" spans="2:15" x14ac:dyDescent="0.3">
      <c r="B63" s="14">
        <v>53</v>
      </c>
      <c r="C63" s="15">
        <v>1098.0999999999999</v>
      </c>
      <c r="D63" s="14">
        <v>924.06</v>
      </c>
      <c r="E63" s="16">
        <v>1014.71</v>
      </c>
      <c r="G63" s="45">
        <v>53</v>
      </c>
      <c r="H63" s="46">
        <v>1098.2</v>
      </c>
      <c r="I63" s="47">
        <v>927.9</v>
      </c>
      <c r="J63" s="46">
        <f t="shared" si="0"/>
        <v>1019.0197800000001</v>
      </c>
      <c r="K63" s="46">
        <f t="shared" si="5"/>
        <v>1008.8295822000001</v>
      </c>
      <c r="L63" s="47">
        <v>65.3</v>
      </c>
      <c r="M63" s="48">
        <f t="shared" si="2"/>
        <v>71.712460000000007</v>
      </c>
      <c r="N63" s="49"/>
    </row>
    <row r="64" spans="2:15" ht="16.2" thickBot="1" x14ac:dyDescent="0.35">
      <c r="B64" s="14">
        <v>54</v>
      </c>
      <c r="C64" s="15">
        <v>1045.5</v>
      </c>
      <c r="D64" s="14">
        <v>930.08</v>
      </c>
      <c r="E64" s="14">
        <v>972.4</v>
      </c>
      <c r="G64" s="50">
        <v>54</v>
      </c>
      <c r="H64" s="51">
        <v>1045.5999999999999</v>
      </c>
      <c r="I64" s="52">
        <v>925.8</v>
      </c>
      <c r="J64" s="51">
        <f t="shared" si="0"/>
        <v>968.01647999999989</v>
      </c>
      <c r="K64" s="51">
        <f t="shared" si="5"/>
        <v>958.33631519999983</v>
      </c>
      <c r="L64" s="52">
        <v>43.5</v>
      </c>
      <c r="M64" s="53">
        <f t="shared" si="2"/>
        <v>45.483599999999996</v>
      </c>
      <c r="N64" s="49"/>
    </row>
    <row r="65" spans="2:14" ht="16.2" thickBot="1" x14ac:dyDescent="0.35">
      <c r="B65" s="14"/>
      <c r="C65" s="15"/>
      <c r="D65" s="14"/>
      <c r="E65" s="14"/>
      <c r="G65" s="54"/>
      <c r="H65" s="55">
        <f>SUM(H52:H64)</f>
        <v>15252</v>
      </c>
      <c r="I65" s="71"/>
      <c r="J65" s="55">
        <f>SUM(J52:J64)</f>
        <v>14215.745000000001</v>
      </c>
      <c r="K65" s="55">
        <f>SUM(K52:K64)</f>
        <v>14073.587550000002</v>
      </c>
      <c r="L65" s="71"/>
      <c r="M65" s="57">
        <f>SUM(M52:M64)</f>
        <v>817.45568400000002</v>
      </c>
      <c r="N65" s="58"/>
    </row>
    <row r="66" spans="2:14" ht="13.8" customHeight="1" x14ac:dyDescent="0.3">
      <c r="B66" s="14">
        <v>55</v>
      </c>
      <c r="C66" s="15">
        <v>1042.3</v>
      </c>
      <c r="D66" s="14">
        <v>909.09</v>
      </c>
      <c r="E66" s="14">
        <v>947.54</v>
      </c>
      <c r="G66" s="59">
        <v>55</v>
      </c>
      <c r="H66" s="60">
        <v>1041.8</v>
      </c>
      <c r="I66" s="61">
        <v>916.1</v>
      </c>
      <c r="J66" s="60">
        <f t="shared" si="0"/>
        <v>954.39297999999997</v>
      </c>
      <c r="K66" s="60">
        <f>J66*0.99</f>
        <v>944.84905019999997</v>
      </c>
      <c r="L66" s="61">
        <v>44.2</v>
      </c>
      <c r="M66" s="62">
        <f t="shared" si="2"/>
        <v>46.047559999999997</v>
      </c>
      <c r="N66" s="72" t="s">
        <v>18</v>
      </c>
    </row>
    <row r="67" spans="2:14" x14ac:dyDescent="0.3">
      <c r="B67" s="14">
        <v>56</v>
      </c>
      <c r="C67" s="15">
        <v>1340.5</v>
      </c>
      <c r="D67" s="14">
        <v>922.07</v>
      </c>
      <c r="E67" s="16">
        <v>1236.03</v>
      </c>
      <c r="G67" s="23">
        <v>56</v>
      </c>
      <c r="H67" s="20">
        <v>1340.6</v>
      </c>
      <c r="I67" s="24">
        <v>923.5</v>
      </c>
      <c r="J67" s="20">
        <f t="shared" si="0"/>
        <v>1238.0440999999998</v>
      </c>
      <c r="K67" s="20">
        <f t="shared" ref="K67:K79" si="6">J67*0.99</f>
        <v>1225.6636589999998</v>
      </c>
      <c r="L67" s="24">
        <v>67.099999999999994</v>
      </c>
      <c r="M67" s="25">
        <f t="shared" si="2"/>
        <v>89.954259999999977</v>
      </c>
      <c r="N67" s="73"/>
    </row>
    <row r="68" spans="2:14" x14ac:dyDescent="0.3">
      <c r="B68" s="14">
        <v>57</v>
      </c>
      <c r="C68" s="15">
        <v>1423.9</v>
      </c>
      <c r="D68" s="14">
        <v>907.08</v>
      </c>
      <c r="E68" s="16">
        <v>1291.5899999999999</v>
      </c>
      <c r="G68" s="23">
        <v>57</v>
      </c>
      <c r="H68" s="20">
        <v>1424</v>
      </c>
      <c r="I68" s="24">
        <v>904.9</v>
      </c>
      <c r="J68" s="20">
        <f t="shared" si="0"/>
        <v>1288.5775999999998</v>
      </c>
      <c r="K68" s="20">
        <f t="shared" si="6"/>
        <v>1275.6918239999998</v>
      </c>
      <c r="L68" s="24">
        <v>81</v>
      </c>
      <c r="M68" s="25">
        <f t="shared" si="2"/>
        <v>115.34399999999999</v>
      </c>
      <c r="N68" s="73"/>
    </row>
    <row r="69" spans="2:14" x14ac:dyDescent="0.3">
      <c r="B69" s="14">
        <v>58</v>
      </c>
      <c r="C69" s="15">
        <v>1113.2</v>
      </c>
      <c r="D69" s="14">
        <v>914.07</v>
      </c>
      <c r="E69" s="16">
        <v>1017.54</v>
      </c>
      <c r="G69" s="23">
        <v>58</v>
      </c>
      <c r="H69" s="20">
        <v>1113.4000000000001</v>
      </c>
      <c r="I69" s="24">
        <v>913.4</v>
      </c>
      <c r="J69" s="20">
        <f t="shared" si="0"/>
        <v>1016.9795600000001</v>
      </c>
      <c r="K69" s="20">
        <f t="shared" si="6"/>
        <v>1006.8097644000001</v>
      </c>
      <c r="L69" s="24">
        <v>75</v>
      </c>
      <c r="M69" s="25">
        <f t="shared" si="2"/>
        <v>83.504999999999995</v>
      </c>
      <c r="N69" s="73"/>
    </row>
    <row r="70" spans="2:14" x14ac:dyDescent="0.3">
      <c r="B70" s="14">
        <v>59</v>
      </c>
      <c r="C70" s="15">
        <v>1241.3</v>
      </c>
      <c r="D70" s="14">
        <v>925.07</v>
      </c>
      <c r="E70" s="16">
        <v>1148.29</v>
      </c>
      <c r="G70" s="23">
        <v>59</v>
      </c>
      <c r="H70" s="20">
        <v>1241.2</v>
      </c>
      <c r="I70" s="24">
        <v>929.4</v>
      </c>
      <c r="J70" s="20">
        <f t="shared" si="0"/>
        <v>1153.5712800000001</v>
      </c>
      <c r="K70" s="20">
        <f t="shared" si="6"/>
        <v>1142.0355672000001</v>
      </c>
      <c r="L70" s="24">
        <v>47.2</v>
      </c>
      <c r="M70" s="25">
        <f t="shared" si="2"/>
        <v>58.584640000000007</v>
      </c>
      <c r="N70" s="73"/>
    </row>
    <row r="71" spans="2:14" x14ac:dyDescent="0.3">
      <c r="B71" s="14">
        <v>60</v>
      </c>
      <c r="C71" s="74">
        <v>999.2</v>
      </c>
      <c r="D71" s="14">
        <v>919.06</v>
      </c>
      <c r="E71" s="14">
        <v>918.32</v>
      </c>
      <c r="G71" s="23">
        <v>60</v>
      </c>
      <c r="H71" s="20">
        <v>999.2</v>
      </c>
      <c r="I71" s="24">
        <v>918.3</v>
      </c>
      <c r="J71" s="20">
        <f t="shared" si="0"/>
        <v>917.56535999999994</v>
      </c>
      <c r="K71" s="20">
        <f t="shared" si="6"/>
        <v>908.38970639999991</v>
      </c>
      <c r="L71" s="24">
        <v>69.8</v>
      </c>
      <c r="M71" s="25">
        <f t="shared" si="2"/>
        <v>69.744160000000008</v>
      </c>
      <c r="N71" s="73"/>
    </row>
    <row r="72" spans="2:14" x14ac:dyDescent="0.3">
      <c r="B72" s="14">
        <v>61</v>
      </c>
      <c r="C72" s="74">
        <v>971.8</v>
      </c>
      <c r="D72" s="14">
        <v>926.08</v>
      </c>
      <c r="E72" s="14">
        <v>899.96</v>
      </c>
      <c r="G72" s="23">
        <v>61</v>
      </c>
      <c r="H72" s="20">
        <v>972</v>
      </c>
      <c r="I72" s="24">
        <v>923.9</v>
      </c>
      <c r="J72" s="20">
        <f t="shared" si="0"/>
        <v>898.03079999999989</v>
      </c>
      <c r="K72" s="20">
        <f t="shared" si="6"/>
        <v>889.05049199999985</v>
      </c>
      <c r="L72" s="24">
        <v>61.2</v>
      </c>
      <c r="M72" s="25">
        <f t="shared" si="2"/>
        <v>59.486400000000003</v>
      </c>
      <c r="N72" s="73"/>
    </row>
    <row r="73" spans="2:14" x14ac:dyDescent="0.3">
      <c r="B73" s="14">
        <v>62</v>
      </c>
      <c r="C73" s="74">
        <v>965.8</v>
      </c>
      <c r="D73" s="14">
        <v>898.07</v>
      </c>
      <c r="E73" s="14">
        <v>867.36</v>
      </c>
      <c r="G73" s="23">
        <v>62</v>
      </c>
      <c r="H73" s="20">
        <v>965.8</v>
      </c>
      <c r="I73" s="24">
        <v>898.6</v>
      </c>
      <c r="J73" s="20">
        <f t="shared" si="0"/>
        <v>867.86788000000001</v>
      </c>
      <c r="K73" s="20">
        <f t="shared" si="6"/>
        <v>859.18920119999996</v>
      </c>
      <c r="L73" s="24">
        <v>89.6</v>
      </c>
      <c r="M73" s="25">
        <f t="shared" si="2"/>
        <v>86.535679999999999</v>
      </c>
      <c r="N73" s="73"/>
    </row>
    <row r="74" spans="2:14" x14ac:dyDescent="0.3">
      <c r="B74" s="14">
        <v>63</v>
      </c>
      <c r="C74" s="74">
        <v>960.2</v>
      </c>
      <c r="D74" s="14">
        <v>908.06</v>
      </c>
      <c r="E74" s="14">
        <v>871.92</v>
      </c>
      <c r="G74" s="23">
        <v>63</v>
      </c>
      <c r="H74" s="20">
        <v>960.2</v>
      </c>
      <c r="I74" s="24">
        <v>908.9</v>
      </c>
      <c r="J74" s="20">
        <f t="shared" si="0"/>
        <v>872.72577999999999</v>
      </c>
      <c r="K74" s="20">
        <f t="shared" si="6"/>
        <v>863.99852220000002</v>
      </c>
      <c r="L74" s="24">
        <v>86.2</v>
      </c>
      <c r="M74" s="25">
        <f t="shared" si="2"/>
        <v>82.769240000000011</v>
      </c>
      <c r="N74" s="73"/>
    </row>
    <row r="75" spans="2:14" x14ac:dyDescent="0.3">
      <c r="B75" s="14">
        <v>64</v>
      </c>
      <c r="C75" s="74">
        <v>958.2</v>
      </c>
      <c r="D75" s="14">
        <v>902.07</v>
      </c>
      <c r="E75" s="14">
        <v>864.36</v>
      </c>
      <c r="G75" s="23">
        <v>64</v>
      </c>
      <c r="H75" s="20">
        <v>958</v>
      </c>
      <c r="I75" s="24">
        <v>903.3</v>
      </c>
      <c r="J75" s="20">
        <f t="shared" si="0"/>
        <v>865.36139999999989</v>
      </c>
      <c r="K75" s="20">
        <f t="shared" si="6"/>
        <v>856.70778599999983</v>
      </c>
      <c r="L75" s="24">
        <v>87.9</v>
      </c>
      <c r="M75" s="25">
        <f t="shared" si="2"/>
        <v>84.208200000000005</v>
      </c>
      <c r="N75" s="73"/>
    </row>
    <row r="76" spans="2:14" x14ac:dyDescent="0.3">
      <c r="B76" s="14">
        <v>65</v>
      </c>
      <c r="C76" s="74">
        <v>956.1</v>
      </c>
      <c r="D76" s="14">
        <v>903.09</v>
      </c>
      <c r="E76" s="14">
        <v>863.44</v>
      </c>
      <c r="G76" s="23">
        <v>65</v>
      </c>
      <c r="H76" s="20">
        <v>956.2</v>
      </c>
      <c r="I76" s="24">
        <v>899.8</v>
      </c>
      <c r="J76" s="20">
        <f t="shared" si="0"/>
        <v>860.38876000000005</v>
      </c>
      <c r="K76" s="20">
        <f t="shared" si="6"/>
        <v>851.78487240000004</v>
      </c>
      <c r="L76" s="24">
        <v>94.5</v>
      </c>
      <c r="M76" s="25">
        <f t="shared" si="2"/>
        <v>90.360900000000015</v>
      </c>
      <c r="N76" s="73"/>
    </row>
    <row r="77" spans="2:14" x14ac:dyDescent="0.3">
      <c r="B77" s="14">
        <v>66</v>
      </c>
      <c r="C77" s="74">
        <v>953.5</v>
      </c>
      <c r="D77" s="14">
        <v>899.07</v>
      </c>
      <c r="E77" s="14">
        <v>857.26</v>
      </c>
      <c r="G77" s="23">
        <v>66</v>
      </c>
      <c r="H77" s="20">
        <v>953.2</v>
      </c>
      <c r="I77" s="24">
        <v>896.9</v>
      </c>
      <c r="J77" s="20">
        <f t="shared" ref="J77:J79" si="7">H77*I77/1000</f>
        <v>854.92508000000009</v>
      </c>
      <c r="K77" s="20">
        <f t="shared" si="6"/>
        <v>846.37582920000011</v>
      </c>
      <c r="L77" s="24">
        <v>96.4</v>
      </c>
      <c r="M77" s="25">
        <f t="shared" ref="M77:M79" si="8">H77*L77/1000</f>
        <v>91.888480000000015</v>
      </c>
      <c r="N77" s="73"/>
    </row>
    <row r="78" spans="2:14" x14ac:dyDescent="0.3">
      <c r="B78" s="14">
        <v>67</v>
      </c>
      <c r="C78" s="74">
        <v>947.1</v>
      </c>
      <c r="D78" s="14">
        <v>895.06</v>
      </c>
      <c r="E78" s="14">
        <v>847.71</v>
      </c>
      <c r="G78" s="23">
        <v>67</v>
      </c>
      <c r="H78" s="20">
        <v>946.8</v>
      </c>
      <c r="I78" s="24">
        <v>898.3</v>
      </c>
      <c r="J78" s="20">
        <f t="shared" si="7"/>
        <v>850.5104399999999</v>
      </c>
      <c r="K78" s="20">
        <f t="shared" si="6"/>
        <v>842.00533559999985</v>
      </c>
      <c r="L78" s="24">
        <v>95.1</v>
      </c>
      <c r="M78" s="25">
        <f t="shared" si="8"/>
        <v>90.040679999999995</v>
      </c>
      <c r="N78" s="73"/>
    </row>
    <row r="79" spans="2:14" ht="16.2" thickBot="1" x14ac:dyDescent="0.35">
      <c r="B79" s="14">
        <v>68</v>
      </c>
      <c r="C79" s="14">
        <v>930.9</v>
      </c>
      <c r="D79" s="14">
        <v>909.07</v>
      </c>
      <c r="E79" s="14">
        <v>846.25</v>
      </c>
      <c r="G79" s="66">
        <v>68</v>
      </c>
      <c r="H79" s="30">
        <v>930.6</v>
      </c>
      <c r="I79" s="75">
        <v>902.9</v>
      </c>
      <c r="J79" s="30">
        <f t="shared" si="7"/>
        <v>840.23874000000001</v>
      </c>
      <c r="K79" s="30">
        <f t="shared" si="6"/>
        <v>831.83635260000005</v>
      </c>
      <c r="L79" s="67">
        <v>57.7</v>
      </c>
      <c r="M79" s="68">
        <f t="shared" si="8"/>
        <v>53.695620000000005</v>
      </c>
      <c r="N79" s="73"/>
    </row>
    <row r="80" spans="2:14" ht="16.2" thickBot="1" x14ac:dyDescent="0.35">
      <c r="B80" s="14"/>
      <c r="C80" s="76">
        <f>SUM(C8:C79)</f>
        <v>87154.799999999988</v>
      </c>
      <c r="D80" s="14"/>
      <c r="E80" s="76">
        <f>SUM(E8:E79)</f>
        <v>80212.869999999981</v>
      </c>
      <c r="G80" s="32"/>
      <c r="H80" s="33">
        <f>SUM(H66:H79)</f>
        <v>14803</v>
      </c>
      <c r="I80" s="77"/>
      <c r="J80" s="33">
        <f>SUM(J66:J79)</f>
        <v>13479.179760000001</v>
      </c>
      <c r="K80" s="33">
        <f>SUM(K66:K79)</f>
        <v>13344.387962399996</v>
      </c>
      <c r="L80" s="77"/>
      <c r="M80" s="38">
        <f>SUM(M66:M79)</f>
        <v>1102.1648200000002</v>
      </c>
      <c r="N80" s="78"/>
    </row>
    <row r="83" spans="8:13" x14ac:dyDescent="0.3">
      <c r="H83" s="63">
        <f>H19+H37+H51+H65+H80</f>
        <v>87156</v>
      </c>
      <c r="J83" s="63">
        <f>J19+J37+J51+J65+J80</f>
        <v>80286.207639999993</v>
      </c>
      <c r="K83" s="63">
        <f>K19+K37+K51+K65+K80</f>
        <v>79483.3455636</v>
      </c>
      <c r="M83" s="63">
        <f>M19+M37+M65+M80+M51</f>
        <v>5592.2009040000012</v>
      </c>
    </row>
  </sheetData>
  <mergeCells count="10">
    <mergeCell ref="N20:N37"/>
    <mergeCell ref="N38:N51"/>
    <mergeCell ref="N52:N65"/>
    <mergeCell ref="N66:N80"/>
    <mergeCell ref="B3:E3"/>
    <mergeCell ref="I3:M3"/>
    <mergeCell ref="B4:E4"/>
    <mergeCell ref="I4:M4"/>
    <mergeCell ref="I5:M5"/>
    <mergeCell ref="N8:N19"/>
  </mergeCells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243PLAN DE CARGA</vt:lpstr>
      <vt:lpstr>'243PLAN DE CARGA'!Área_de_impresión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Usuario03</dc:creator>
  <cp:lastModifiedBy>Usuario03</cp:lastModifiedBy>
  <dcterms:created xsi:type="dcterms:W3CDTF">2026-06-12T19:50:24Z</dcterms:created>
  <dcterms:modified xsi:type="dcterms:W3CDTF">2026-06-12T19:51:17Z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2026-06-12T19:51:10Z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dddc8414-4a10-4c45-b4a0-d9c3a923e3fa</vt:lpwstr>
  </property>
  <property fmtid="{D5CDD505-2E9C-101B-9397-08002B2CF9AE}" pid="7" name="MSIP_Label_defa4170-0d19-0005-0004-bc88714345d2_ActionId">
    <vt:lpwstr>31e8e33a-932d-47e3-93d6-91dbd79477f9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