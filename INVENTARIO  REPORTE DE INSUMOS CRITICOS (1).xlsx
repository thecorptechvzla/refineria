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Juan\seguimiento\"/>
    </mc:Choice>
  </mc:AlternateContent>
  <xr:revisionPtr revIDLastSave="0" documentId="13_ncr:1_{1AB83684-FB46-40D8-8999-45647CE1B900}" xr6:coauthVersionLast="47" xr6:coauthVersionMax="47" xr10:uidLastSave="{00000000-0000-0000-0000-000000000000}"/>
  <bookViews>
    <workbookView xWindow="-108" yWindow="-108" windowWidth="23256" windowHeight="12456" xr2:uid="{C10A7796-865D-4E07-8490-532451BF0998}"/>
  </bookViews>
  <sheets>
    <sheet name="resumen" sheetId="4" r:id="rId1"/>
    <sheet name="quimicos" sheetId="1" r:id="rId2"/>
    <sheet name="gases" sheetId="2" r:id="rId3"/>
    <sheet name="combustible" sheetId="3" r:id="rId4"/>
    <sheet name="NOVEDAD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8" i="1" l="1"/>
  <c r="AG9" i="1"/>
  <c r="AG10" i="1"/>
  <c r="AG11" i="1"/>
  <c r="AG12" i="1"/>
  <c r="AG13" i="1"/>
  <c r="AG14" i="1"/>
  <c r="AG7" i="1"/>
  <c r="C13" i="1"/>
  <c r="C10" i="1"/>
  <c r="C9" i="1"/>
  <c r="C8" i="1"/>
  <c r="C7" i="1"/>
  <c r="E13" i="3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D70" i="3" s="1"/>
  <c r="D9" i="3" s="1"/>
  <c r="K34" i="4" s="1"/>
  <c r="D69" i="3"/>
  <c r="AH11" i="1" l="1"/>
  <c r="AH12" i="1"/>
  <c r="AH14" i="1"/>
  <c r="AH9" i="1"/>
  <c r="AH10" i="1"/>
  <c r="AH7" i="1"/>
  <c r="AH13" i="1"/>
  <c r="H13" i="3"/>
  <c r="G25" i="4"/>
  <c r="G28" i="4"/>
  <c r="H28" i="4" s="1"/>
  <c r="G26" i="4"/>
  <c r="AH8" i="1" l="1"/>
  <c r="G24" i="4"/>
  <c r="H24" i="4" s="1"/>
  <c r="G21" i="4"/>
  <c r="H21" i="4" s="1"/>
  <c r="G27" i="4"/>
  <c r="H27" i="4" s="1"/>
  <c r="G23" i="4"/>
  <c r="H23" i="4" s="1"/>
  <c r="G22" i="4"/>
  <c r="H22" i="4" s="1"/>
</calcChain>
</file>

<file path=xl/sharedStrings.xml><?xml version="1.0" encoding="utf-8"?>
<sst xmlns="http://schemas.openxmlformats.org/spreadsheetml/2006/main" count="105" uniqueCount="82">
  <si>
    <t>QUIMICOS</t>
  </si>
  <si>
    <t>Acido Clorhidrico (Lts)</t>
  </si>
  <si>
    <t>Acido Nitrico (Lts)</t>
  </si>
  <si>
    <t>Metalbisulfito (kg)</t>
  </si>
  <si>
    <t>Urea (kg)</t>
  </si>
  <si>
    <t>Soda Caustica (Lts)</t>
  </si>
  <si>
    <t>Soda Caustica (Kg)</t>
  </si>
  <si>
    <t>Amoniaco (Lts)</t>
  </si>
  <si>
    <t>Alcohol Etilico (Lts)</t>
  </si>
  <si>
    <t>Inventario Inicial</t>
  </si>
  <si>
    <t>Existencia</t>
  </si>
  <si>
    <t>Propano</t>
  </si>
  <si>
    <t>Oxigeno</t>
  </si>
  <si>
    <t>Argon</t>
  </si>
  <si>
    <t>LLENAS</t>
  </si>
  <si>
    <t>DISPONIBLES</t>
  </si>
  <si>
    <t>GASES</t>
  </si>
  <si>
    <t>INVENTARIO DE GASES</t>
  </si>
  <si>
    <t>INVENTARIO DE QUIMICOS</t>
  </si>
  <si>
    <t>CONTROL DIARO DE COMBUSTIBLE</t>
  </si>
  <si>
    <t xml:space="preserve">CANTIDAD INICIAL: </t>
  </si>
  <si>
    <t>FECHA</t>
  </si>
  <si>
    <t>CONSUMO (LTS)</t>
  </si>
  <si>
    <t>DISPONIBLE (LTS)</t>
  </si>
  <si>
    <t>Consumo Total:</t>
  </si>
  <si>
    <t>COMBUSTIBLE DISPONIBLE</t>
  </si>
  <si>
    <t>GASOIL</t>
  </si>
  <si>
    <t>REPORTE DE INSUMOS CRITICOS</t>
  </si>
  <si>
    <t>EN USO</t>
  </si>
  <si>
    <t>EQUIPO</t>
  </si>
  <si>
    <t>DIAGNOSTICO</t>
  </si>
  <si>
    <t>ACCION</t>
  </si>
  <si>
    <t>NOVEDADES</t>
  </si>
  <si>
    <t>Cantidades Minimas</t>
  </si>
  <si>
    <t>Consumo (28/05/26)</t>
  </si>
  <si>
    <t>Consumo 
(29/05/26)</t>
  </si>
  <si>
    <t>Consumo 
(30/05/26)</t>
  </si>
  <si>
    <t>Consumo 
(31/05/26)</t>
  </si>
  <si>
    <t>Consumo 
(01/06/26)</t>
  </si>
  <si>
    <t>Vacias</t>
  </si>
  <si>
    <t>Casting bar</t>
  </si>
  <si>
    <t>Esta presentado goteo interno (sudorazion en las paredes)</t>
  </si>
  <si>
    <t>Consumo 
(02/06/26)</t>
  </si>
  <si>
    <t>Consumo 
(03/06/26)</t>
  </si>
  <si>
    <t>Consumo 
(04/06/26)</t>
  </si>
  <si>
    <t>Consumo 
(05/06/26)</t>
  </si>
  <si>
    <t>Consumo 
(06/06/26)</t>
  </si>
  <si>
    <t>Consumo 
(07/06/26)</t>
  </si>
  <si>
    <t>Generador del campamento</t>
  </si>
  <si>
    <t>Horno azul grande</t>
  </si>
  <si>
    <t>No encendia, se reemplazo el modulo eim, queda corregida la falla 
▪️ El radiador esta totalmente tapado con peluza, (se debe lavar externamente
▪️ La velocidad del motor no es estable, la bomba de inyeccion requiere servicio.
▪️Ruido irregular en el motor (sera necesario desmontar la camara para evaluar)</t>
  </si>
  <si>
    <t>Consumo 
(08/06/26)</t>
  </si>
  <si>
    <t>Consumo 
(09/06/26)</t>
  </si>
  <si>
    <t>Consumo 
(10/06/26)</t>
  </si>
  <si>
    <t>Consumo 
(11/06/26)</t>
  </si>
  <si>
    <t>Consumo 
(12/06/26)</t>
  </si>
  <si>
    <t>Consumo 
(13/06/26)</t>
  </si>
  <si>
    <t>Consumo 
(14/06/26)</t>
  </si>
  <si>
    <t>Consumo 
(15/06/26)</t>
  </si>
  <si>
    <t>presenta falla en el bobina</t>
  </si>
  <si>
    <t>Consumo 
(16/06/26)</t>
  </si>
  <si>
    <t>Consumo 
(17/06/26)</t>
  </si>
  <si>
    <t>Consumo 
(18/06/26)</t>
  </si>
  <si>
    <t>Consumo 
(19/06/26)</t>
  </si>
  <si>
    <t>Consumo 
(20/06/26)</t>
  </si>
  <si>
    <t>Consumo 
(21/06/26)</t>
  </si>
  <si>
    <t>,</t>
  </si>
  <si>
    <t>Ajustes por consumos (21/06/26)</t>
  </si>
  <si>
    <t>Ya esta en manos de nelson desde el sabado 20/06/2026</t>
  </si>
  <si>
    <t>Ajuste</t>
  </si>
  <si>
    <t>DÍAS DE  
PRODUCCIÓN CON LA EXISTENCIA ACTUAL</t>
  </si>
  <si>
    <t>N/A</t>
  </si>
  <si>
    <t>MAYOR A 1 AÑO</t>
  </si>
  <si>
    <t>No se pudo hacer prueba por falla en el generador grande por el sensor de presion de aceite y que estaban en uso los hornos por fundicion</t>
  </si>
  <si>
    <t>Extractor</t>
  </si>
  <si>
    <t>Persiste las rupturas de correas por falla en diseno de poleas</t>
  </si>
  <si>
    <t>Por ahora 
sin uso</t>
  </si>
  <si>
    <t>24 Kg/mes</t>
  </si>
  <si>
    <t>CONSUMO 
DIARIO 
(3 LOTES)</t>
  </si>
  <si>
    <t>Consumo 
(23/06/26)</t>
  </si>
  <si>
    <t>en espera de que baje equipo de contreras para corregir falla</t>
  </si>
  <si>
    <t xml:space="preserve">Hoy me terminaron de entregar la otra bobina.
Lo que estamos viendo es que al parecer no es 100% cobre. Que esas tuberías qué están vendiendo tienen aleación y eso afecta la inducción.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</si>
</sst>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11" xfId="1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3" fontId="0" fillId="0" borderId="14" xfId="1" applyFont="1" applyBorder="1"/>
    <xf numFmtId="43" fontId="0" fillId="0" borderId="14" xfId="1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43" fontId="2" fillId="2" borderId="15" xfId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3" fontId="2" fillId="2" borderId="3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6" xfId="0" applyFont="1" applyFill="1" applyBorder="1" applyAlignment="1">
      <alignment horizontal="center"/>
    </xf>
    <xf numFmtId="43" fontId="2" fillId="0" borderId="17" xfId="0" applyNumberFormat="1" applyFont="1" applyBorder="1"/>
    <xf numFmtId="43" fontId="2" fillId="0" borderId="3" xfId="1" applyFont="1" applyBorder="1"/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2" fillId="0" borderId="3" xfId="0" applyNumberFormat="1" applyFont="1" applyBorder="1"/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14" fontId="0" fillId="0" borderId="9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3" fontId="0" fillId="0" borderId="0" xfId="0" applyNumberFormat="1"/>
    <xf numFmtId="0" fontId="0" fillId="0" borderId="3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1" fontId="0" fillId="4" borderId="19" xfId="1" applyNumberFormat="1" applyFont="1" applyFill="1" applyBorder="1" applyAlignment="1">
      <alignment horizontal="center"/>
    </xf>
    <xf numFmtId="1" fontId="0" fillId="5" borderId="19" xfId="1" applyNumberFormat="1" applyFont="1" applyFill="1" applyBorder="1" applyAlignment="1">
      <alignment horizontal="center"/>
    </xf>
    <xf numFmtId="1" fontId="0" fillId="5" borderId="30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 xr:uid="{255B0130-8356-4EE6-8458-13D65CC0D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11</xdr:row>
      <xdr:rowOff>24765</xdr:rowOff>
    </xdr:from>
    <xdr:to>
      <xdr:col>5</xdr:col>
      <xdr:colOff>190500</xdr:colOff>
      <xdr:row>16</xdr:row>
      <xdr:rowOff>133689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AA2E79-B3A1-4C60-A064-646F2A23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4095" y="1653540"/>
          <a:ext cx="981075" cy="101379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1047750</xdr:colOff>
      <xdr:row>12</xdr:row>
      <xdr:rowOff>51151</xdr:rowOff>
    </xdr:from>
    <xdr:to>
      <xdr:col>11</xdr:col>
      <xdr:colOff>513069</xdr:colOff>
      <xdr:row>16</xdr:row>
      <xdr:rowOff>147011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27DE95-CCB7-F514-3A2C-6704707C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6525" y="1879951"/>
          <a:ext cx="1589394" cy="819760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502921</xdr:colOff>
      <xdr:row>24</xdr:row>
      <xdr:rowOff>160406</xdr:rowOff>
    </xdr:from>
    <xdr:to>
      <xdr:col>10</xdr:col>
      <xdr:colOff>247650</xdr:colOff>
      <xdr:row>31</xdr:row>
      <xdr:rowOff>168978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99A8C3-00B7-5E67-1729-33B8216AF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1221" y="2903606"/>
          <a:ext cx="1074419" cy="129825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</xdr:row>
      <xdr:rowOff>2</xdr:rowOff>
    </xdr:from>
    <xdr:to>
      <xdr:col>11</xdr:col>
      <xdr:colOff>104775</xdr:colOff>
      <xdr:row>6</xdr:row>
      <xdr:rowOff>161926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6378FE1-D32E-B6F4-1D2C-D3B492965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2"/>
          <a:ext cx="8839199" cy="885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18</xdr:row>
      <xdr:rowOff>72534</xdr:rowOff>
    </xdr:from>
    <xdr:to>
      <xdr:col>35</xdr:col>
      <xdr:colOff>190500</xdr:colOff>
      <xdr:row>24</xdr:row>
      <xdr:rowOff>483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620551-86AA-67F8-C860-FAF84A11B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1661" y="3707274"/>
          <a:ext cx="982980" cy="10252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</xdr:colOff>
      <xdr:row>1</xdr:row>
      <xdr:rowOff>81322</xdr:rowOff>
    </xdr:from>
    <xdr:to>
      <xdr:col>3</xdr:col>
      <xdr:colOff>1333500</xdr:colOff>
      <xdr:row>4</xdr:row>
      <xdr:rowOff>161923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1D8AB-6115-40B1-AF76-6B332BD54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" y="264202"/>
          <a:ext cx="6278880" cy="6292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BCA5-C9AD-4F15-86A2-7279E76BA768}">
  <dimension ref="B8:M34"/>
  <sheetViews>
    <sheetView showGridLines="0" tabSelected="1" topLeftCell="A6" zoomScale="80" workbookViewId="0">
      <selection sqref="A1:N35"/>
    </sheetView>
  </sheetViews>
  <sheetFormatPr baseColWidth="10" defaultRowHeight="14.4" x14ac:dyDescent="0.3"/>
  <cols>
    <col min="2" max="2" width="21.6640625" customWidth="1"/>
    <col min="3" max="4" width="0" hidden="1" customWidth="1"/>
    <col min="8" max="8" width="17.109375" customWidth="1"/>
    <col min="10" max="10" width="19.44140625" customWidth="1"/>
    <col min="13" max="13" width="12.77734375" bestFit="1" customWidth="1"/>
  </cols>
  <sheetData>
    <row r="8" spans="2:13" ht="15" thickBot="1" x14ac:dyDescent="0.35"/>
    <row r="9" spans="2:13" x14ac:dyDescent="0.3">
      <c r="B9" s="68" t="s">
        <v>27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70"/>
    </row>
    <row r="10" spans="2:13" ht="15" thickBot="1" x14ac:dyDescent="0.35"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3"/>
    </row>
    <row r="17" spans="2:13" ht="15" thickBot="1" x14ac:dyDescent="0.35"/>
    <row r="18" spans="2:13" ht="15" thickBot="1" x14ac:dyDescent="0.35">
      <c r="B18" s="77" t="s">
        <v>18</v>
      </c>
      <c r="C18" s="78"/>
      <c r="D18" s="78"/>
      <c r="E18" s="78"/>
      <c r="F18" s="78"/>
      <c r="G18" s="78"/>
      <c r="H18" s="78"/>
      <c r="J18" s="74" t="s">
        <v>17</v>
      </c>
      <c r="K18" s="75"/>
      <c r="L18" s="75"/>
      <c r="M18" s="76"/>
    </row>
    <row r="19" spans="2:13" ht="15" thickBot="1" x14ac:dyDescent="0.35"/>
    <row r="20" spans="2:13" ht="55.8" thickBot="1" x14ac:dyDescent="0.35">
      <c r="B20" s="26" t="s">
        <v>0</v>
      </c>
      <c r="C20" s="34" t="s">
        <v>9</v>
      </c>
      <c r="D20" s="35" t="s">
        <v>78</v>
      </c>
      <c r="E20" s="35" t="s">
        <v>79</v>
      </c>
      <c r="F20" s="39" t="s">
        <v>33</v>
      </c>
      <c r="G20" s="26" t="s">
        <v>10</v>
      </c>
      <c r="H20" s="59" t="s">
        <v>70</v>
      </c>
      <c r="J20" s="26" t="s">
        <v>16</v>
      </c>
      <c r="K20" s="26" t="s">
        <v>14</v>
      </c>
      <c r="L20" s="25" t="s">
        <v>28</v>
      </c>
      <c r="M20" s="26" t="s">
        <v>39</v>
      </c>
    </row>
    <row r="21" spans="2:13" x14ac:dyDescent="0.3">
      <c r="B21" s="27" t="s">
        <v>1</v>
      </c>
      <c r="C21" s="41">
        <v>6235</v>
      </c>
      <c r="D21" s="30">
        <v>216</v>
      </c>
      <c r="E21" s="30">
        <v>216</v>
      </c>
      <c r="F21" s="36">
        <v>860</v>
      </c>
      <c r="G21" s="30">
        <f>+quimicos!AG7</f>
        <v>902</v>
      </c>
      <c r="H21" s="60">
        <f>+G21/D21</f>
        <v>4.1759259259259256</v>
      </c>
      <c r="J21" s="30" t="s">
        <v>11</v>
      </c>
      <c r="K21" s="30">
        <v>1</v>
      </c>
      <c r="L21" s="36">
        <v>5</v>
      </c>
      <c r="M21" s="30">
        <v>0</v>
      </c>
    </row>
    <row r="22" spans="2:13" x14ac:dyDescent="0.3">
      <c r="B22" s="28" t="s">
        <v>2</v>
      </c>
      <c r="C22" s="42">
        <v>3510</v>
      </c>
      <c r="D22" s="11">
        <v>120</v>
      </c>
      <c r="E22" s="11">
        <v>72</v>
      </c>
      <c r="F22" s="37">
        <v>500</v>
      </c>
      <c r="G22" s="30">
        <f>+quimicos!AG8</f>
        <v>1018</v>
      </c>
      <c r="H22" s="60">
        <f t="shared" ref="H22:H24" si="0">+G22/D22</f>
        <v>8.4833333333333325</v>
      </c>
      <c r="J22" s="11" t="s">
        <v>12</v>
      </c>
      <c r="K22" s="11">
        <v>2</v>
      </c>
      <c r="L22" s="37">
        <v>1</v>
      </c>
      <c r="M22" s="11">
        <v>4</v>
      </c>
    </row>
    <row r="23" spans="2:13" ht="15" thickBot="1" x14ac:dyDescent="0.35">
      <c r="B23" s="28" t="s">
        <v>3</v>
      </c>
      <c r="C23" s="42">
        <v>1625</v>
      </c>
      <c r="D23" s="11">
        <v>75</v>
      </c>
      <c r="E23" s="11">
        <v>72</v>
      </c>
      <c r="F23" s="37">
        <v>300</v>
      </c>
      <c r="G23" s="30">
        <f>+quimicos!AG9</f>
        <v>2553</v>
      </c>
      <c r="H23" s="61">
        <f t="shared" si="0"/>
        <v>34.04</v>
      </c>
      <c r="J23" s="31" t="s">
        <v>13</v>
      </c>
      <c r="K23" s="31">
        <v>4</v>
      </c>
      <c r="L23" s="38">
        <v>1</v>
      </c>
      <c r="M23" s="31">
        <v>0</v>
      </c>
    </row>
    <row r="24" spans="2:13" x14ac:dyDescent="0.3">
      <c r="B24" s="28" t="s">
        <v>4</v>
      </c>
      <c r="C24" s="42">
        <v>5900</v>
      </c>
      <c r="D24" s="11">
        <v>72</v>
      </c>
      <c r="E24" s="11">
        <v>72</v>
      </c>
      <c r="F24" s="37">
        <v>600</v>
      </c>
      <c r="G24" s="30">
        <f>+quimicos!AG10</f>
        <v>4028</v>
      </c>
      <c r="H24" s="61">
        <f t="shared" si="0"/>
        <v>55.944444444444443</v>
      </c>
    </row>
    <row r="25" spans="2:13" x14ac:dyDescent="0.3">
      <c r="B25" s="28" t="s">
        <v>5</v>
      </c>
      <c r="C25" s="42">
        <v>350</v>
      </c>
      <c r="D25" s="11" t="s">
        <v>76</v>
      </c>
      <c r="E25" s="11">
        <v>0</v>
      </c>
      <c r="F25" s="37">
        <v>120</v>
      </c>
      <c r="G25" s="30">
        <f>+quimicos!AG11</f>
        <v>350</v>
      </c>
      <c r="H25" s="61" t="s">
        <v>71</v>
      </c>
    </row>
    <row r="26" spans="2:13" x14ac:dyDescent="0.3">
      <c r="B26" s="28" t="s">
        <v>6</v>
      </c>
      <c r="C26" s="42">
        <v>1800</v>
      </c>
      <c r="D26" s="11" t="s">
        <v>77</v>
      </c>
      <c r="E26" s="11">
        <v>0</v>
      </c>
      <c r="F26" s="37">
        <v>250</v>
      </c>
      <c r="G26" s="30">
        <f>+quimicos!AG12</f>
        <v>1804</v>
      </c>
      <c r="H26" s="61" t="s">
        <v>72</v>
      </c>
    </row>
    <row r="27" spans="2:13" x14ac:dyDescent="0.3">
      <c r="B27" s="28" t="s">
        <v>7</v>
      </c>
      <c r="C27" s="42">
        <v>1880</v>
      </c>
      <c r="D27" s="11">
        <v>60</v>
      </c>
      <c r="E27" s="11">
        <v>60</v>
      </c>
      <c r="F27" s="37">
        <v>500</v>
      </c>
      <c r="G27" s="30">
        <f>+quimicos!AG13</f>
        <v>340</v>
      </c>
      <c r="H27" s="60">
        <f t="shared" ref="H27:H28" si="1">+G27/D27</f>
        <v>5.666666666666667</v>
      </c>
    </row>
    <row r="28" spans="2:13" ht="15" thickBot="1" x14ac:dyDescent="0.35">
      <c r="B28" s="29" t="s">
        <v>8</v>
      </c>
      <c r="C28" s="43">
        <v>190</v>
      </c>
      <c r="D28" s="31">
        <v>4</v>
      </c>
      <c r="E28" s="31">
        <v>0</v>
      </c>
      <c r="F28" s="38">
        <v>40</v>
      </c>
      <c r="G28" s="44">
        <f>+quimicos!AG14</f>
        <v>80</v>
      </c>
      <c r="H28" s="62">
        <f t="shared" si="1"/>
        <v>20</v>
      </c>
    </row>
    <row r="32" spans="2:13" ht="15" thickBot="1" x14ac:dyDescent="0.35"/>
    <row r="33" spans="10:11" ht="15" thickBot="1" x14ac:dyDescent="0.35">
      <c r="J33" s="66" t="s">
        <v>26</v>
      </c>
      <c r="K33" s="67"/>
    </row>
    <row r="34" spans="10:11" ht="23.4" customHeight="1" thickBot="1" x14ac:dyDescent="0.35">
      <c r="J34" s="32" t="s">
        <v>23</v>
      </c>
      <c r="K34" s="33">
        <f>+combustible!D9</f>
        <v>5067</v>
      </c>
    </row>
  </sheetData>
  <mergeCells count="4">
    <mergeCell ref="J33:K33"/>
    <mergeCell ref="B9:M10"/>
    <mergeCell ref="J18:M18"/>
    <mergeCell ref="B18:H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A64A-F45D-4DC6-8FBC-3D85482A681A}">
  <dimension ref="B4:AK14"/>
  <sheetViews>
    <sheetView workbookViewId="0">
      <selection activeCell="AI8" sqref="AI8"/>
    </sheetView>
  </sheetViews>
  <sheetFormatPr baseColWidth="10" defaultRowHeight="14.4" x14ac:dyDescent="0.3"/>
  <cols>
    <col min="2" max="2" width="26.88671875" bestFit="1" customWidth="1"/>
    <col min="3" max="3" width="0" hidden="1" customWidth="1"/>
    <col min="4" max="29" width="11.5546875" hidden="1" customWidth="1"/>
    <col min="34" max="34" width="0" hidden="1" customWidth="1"/>
  </cols>
  <sheetData>
    <row r="4" spans="2:37" x14ac:dyDescent="0.3">
      <c r="B4" s="79" t="s">
        <v>18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</row>
    <row r="6" spans="2:37" ht="41.4" customHeight="1" x14ac:dyDescent="0.3">
      <c r="B6" s="2" t="s">
        <v>0</v>
      </c>
      <c r="C6" s="3" t="s">
        <v>9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38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46</v>
      </c>
      <c r="N6" s="3" t="s">
        <v>47</v>
      </c>
      <c r="O6" s="3" t="s">
        <v>51</v>
      </c>
      <c r="P6" s="3" t="s">
        <v>52</v>
      </c>
      <c r="Q6" s="3" t="s">
        <v>53</v>
      </c>
      <c r="R6" s="3" t="s">
        <v>54</v>
      </c>
      <c r="S6" s="3" t="s">
        <v>55</v>
      </c>
      <c r="T6" s="3" t="s">
        <v>56</v>
      </c>
      <c r="U6" s="3" t="s">
        <v>57</v>
      </c>
      <c r="V6" s="3" t="s">
        <v>58</v>
      </c>
      <c r="W6" s="3" t="s">
        <v>60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64</v>
      </c>
      <c r="AC6" s="3" t="s">
        <v>67</v>
      </c>
      <c r="AD6" s="3" t="s">
        <v>65</v>
      </c>
      <c r="AE6" s="3" t="s">
        <v>69</v>
      </c>
      <c r="AF6" s="3" t="s">
        <v>79</v>
      </c>
      <c r="AG6" s="2" t="s">
        <v>10</v>
      </c>
    </row>
    <row r="7" spans="2:37" x14ac:dyDescent="0.3">
      <c r="B7" s="3" t="s">
        <v>1</v>
      </c>
      <c r="C7" s="2">
        <f>5655+294</f>
        <v>5949</v>
      </c>
      <c r="D7" s="2">
        <v>216</v>
      </c>
      <c r="E7" s="2">
        <v>216</v>
      </c>
      <c r="F7" s="2">
        <v>216</v>
      </c>
      <c r="G7" s="2">
        <v>216</v>
      </c>
      <c r="H7" s="2">
        <v>216</v>
      </c>
      <c r="I7" s="2">
        <v>216</v>
      </c>
      <c r="J7" s="2">
        <v>216</v>
      </c>
      <c r="K7" s="2">
        <v>216</v>
      </c>
      <c r="L7" s="2">
        <v>216</v>
      </c>
      <c r="M7" s="2">
        <v>216</v>
      </c>
      <c r="N7" s="2">
        <v>216</v>
      </c>
      <c r="O7" s="2">
        <v>216</v>
      </c>
      <c r="P7" s="2">
        <v>216</v>
      </c>
      <c r="Q7" s="2">
        <v>216</v>
      </c>
      <c r="R7" s="2">
        <v>216</v>
      </c>
      <c r="S7" s="2">
        <v>216</v>
      </c>
      <c r="T7" s="2">
        <v>216</v>
      </c>
      <c r="U7" s="2">
        <v>216</v>
      </c>
      <c r="V7" s="2">
        <v>216</v>
      </c>
      <c r="W7" s="2">
        <v>0</v>
      </c>
      <c r="X7" s="2">
        <v>216</v>
      </c>
      <c r="Y7" s="2">
        <v>216</v>
      </c>
      <c r="Z7" s="2">
        <v>216</v>
      </c>
      <c r="AA7" s="2">
        <v>216</v>
      </c>
      <c r="AB7" s="2">
        <v>216</v>
      </c>
      <c r="AC7" s="2">
        <v>231</v>
      </c>
      <c r="AD7" s="2">
        <v>216</v>
      </c>
      <c r="AE7" s="2">
        <v>338</v>
      </c>
      <c r="AF7" s="2">
        <v>216</v>
      </c>
      <c r="AG7" s="2">
        <f>+C7-D7-E7-F7-G7-H7-I7-J7-K7-L7-M7-N7-O7-P7-Q7-R7-S7-T7-U7-V7-X7-Y7-Z7+W7-AA7-AB7-AD7+AC7+AE7-AF7</f>
        <v>902</v>
      </c>
      <c r="AH7">
        <f>+AC7+AG7</f>
        <v>1133</v>
      </c>
    </row>
    <row r="8" spans="2:37" x14ac:dyDescent="0.3">
      <c r="B8" s="3" t="s">
        <v>2</v>
      </c>
      <c r="C8" s="2">
        <f>3732-21</f>
        <v>3711</v>
      </c>
      <c r="D8" s="2">
        <v>120</v>
      </c>
      <c r="E8" s="2">
        <v>102</v>
      </c>
      <c r="F8" s="2">
        <v>102</v>
      </c>
      <c r="G8" s="2">
        <v>102</v>
      </c>
      <c r="H8" s="2">
        <v>102</v>
      </c>
      <c r="I8" s="2">
        <v>72</v>
      </c>
      <c r="J8" s="2">
        <v>72</v>
      </c>
      <c r="K8" s="2">
        <v>72</v>
      </c>
      <c r="L8" s="2">
        <v>72</v>
      </c>
      <c r="M8" s="2">
        <v>72</v>
      </c>
      <c r="N8" s="2">
        <v>72</v>
      </c>
      <c r="O8" s="2">
        <v>72</v>
      </c>
      <c r="P8" s="2">
        <v>72</v>
      </c>
      <c r="Q8" s="2">
        <v>72</v>
      </c>
      <c r="R8" s="2">
        <v>72</v>
      </c>
      <c r="S8" s="2">
        <v>72</v>
      </c>
      <c r="T8" s="2">
        <v>72</v>
      </c>
      <c r="U8" s="2">
        <v>72</v>
      </c>
      <c r="V8" s="2">
        <v>72</v>
      </c>
      <c r="W8" s="2">
        <v>0</v>
      </c>
      <c r="X8" s="2">
        <v>72</v>
      </c>
      <c r="Y8" s="2">
        <v>72</v>
      </c>
      <c r="Z8" s="2">
        <v>72</v>
      </c>
      <c r="AA8" s="2">
        <v>72</v>
      </c>
      <c r="AB8" s="2">
        <v>72</v>
      </c>
      <c r="AC8" s="2">
        <v>-378</v>
      </c>
      <c r="AD8" s="2">
        <v>72</v>
      </c>
      <c r="AE8" s="2">
        <v>-275</v>
      </c>
      <c r="AF8" s="2">
        <v>72</v>
      </c>
      <c r="AG8" s="2">
        <f t="shared" ref="AG8:AG14" si="0">+C8-D8-E8-F8-G8-H8-I8-J8-K8-L8-M8-N8-O8-P8-Q8-R8-S8-T8-U8-V8-X8-Y8-Z8+W8-AA8-AB8-AD8+AC8+AE8-AF8</f>
        <v>1018</v>
      </c>
      <c r="AH8">
        <f t="shared" ref="AH8:AH14" si="1">+AC8+AG8</f>
        <v>640</v>
      </c>
      <c r="AK8" t="s">
        <v>66</v>
      </c>
    </row>
    <row r="9" spans="2:37" x14ac:dyDescent="0.3">
      <c r="B9" s="3" t="s">
        <v>3</v>
      </c>
      <c r="C9" s="2">
        <f>1625-6</f>
        <v>1619</v>
      </c>
      <c r="D9" s="2">
        <v>75</v>
      </c>
      <c r="E9" s="2">
        <v>75</v>
      </c>
      <c r="F9" s="2">
        <v>74</v>
      </c>
      <c r="G9" s="2">
        <v>75</v>
      </c>
      <c r="H9" s="2">
        <v>72</v>
      </c>
      <c r="I9" s="2">
        <v>72</v>
      </c>
      <c r="J9" s="2">
        <v>72</v>
      </c>
      <c r="K9" s="2">
        <v>72</v>
      </c>
      <c r="L9" s="2">
        <v>72</v>
      </c>
      <c r="M9" s="2">
        <v>72</v>
      </c>
      <c r="N9" s="2">
        <v>72</v>
      </c>
      <c r="O9" s="2">
        <v>72</v>
      </c>
      <c r="P9" s="2">
        <v>72</v>
      </c>
      <c r="Q9" s="2">
        <v>72</v>
      </c>
      <c r="R9" s="2">
        <v>72</v>
      </c>
      <c r="S9" s="2">
        <v>72</v>
      </c>
      <c r="T9" s="2">
        <v>72</v>
      </c>
      <c r="U9" s="2">
        <v>72</v>
      </c>
      <c r="V9" s="2">
        <v>72</v>
      </c>
      <c r="W9" s="2">
        <v>1000</v>
      </c>
      <c r="X9" s="2">
        <v>72</v>
      </c>
      <c r="Y9" s="2">
        <v>72</v>
      </c>
      <c r="Z9" s="2">
        <v>72</v>
      </c>
      <c r="AA9" s="2">
        <v>72</v>
      </c>
      <c r="AB9" s="2">
        <v>72</v>
      </c>
      <c r="AC9" s="2">
        <v>1967</v>
      </c>
      <c r="AD9" s="2">
        <v>72</v>
      </c>
      <c r="AE9" s="2">
        <v>-150</v>
      </c>
      <c r="AF9" s="2">
        <v>72</v>
      </c>
      <c r="AG9" s="2">
        <f t="shared" si="0"/>
        <v>2553</v>
      </c>
      <c r="AH9">
        <f t="shared" si="1"/>
        <v>4520</v>
      </c>
    </row>
    <row r="10" spans="2:37" x14ac:dyDescent="0.3">
      <c r="B10" s="3" t="s">
        <v>4</v>
      </c>
      <c r="C10" s="2">
        <f>5900-24</f>
        <v>5876</v>
      </c>
      <c r="D10" s="2">
        <v>70</v>
      </c>
      <c r="E10" s="2">
        <v>72</v>
      </c>
      <c r="F10" s="2">
        <v>72</v>
      </c>
      <c r="G10" s="2">
        <v>72</v>
      </c>
      <c r="H10" s="2">
        <v>72</v>
      </c>
      <c r="I10" s="2">
        <v>72</v>
      </c>
      <c r="J10" s="2">
        <v>72</v>
      </c>
      <c r="K10" s="2">
        <v>72</v>
      </c>
      <c r="L10" s="2">
        <v>72</v>
      </c>
      <c r="M10" s="2">
        <v>72</v>
      </c>
      <c r="N10" s="2">
        <v>42</v>
      </c>
      <c r="O10" s="2">
        <v>72</v>
      </c>
      <c r="P10" s="2">
        <v>72</v>
      </c>
      <c r="Q10" s="2">
        <v>72</v>
      </c>
      <c r="R10" s="2">
        <v>72</v>
      </c>
      <c r="S10" s="2">
        <v>72</v>
      </c>
      <c r="T10" s="2">
        <v>72</v>
      </c>
      <c r="U10" s="2">
        <v>72</v>
      </c>
      <c r="V10" s="2">
        <v>72</v>
      </c>
      <c r="W10" s="2">
        <v>0</v>
      </c>
      <c r="X10" s="2">
        <v>72</v>
      </c>
      <c r="Y10" s="2">
        <v>72</v>
      </c>
      <c r="Z10" s="2">
        <v>72</v>
      </c>
      <c r="AA10" s="2">
        <v>72</v>
      </c>
      <c r="AB10" s="2">
        <v>72</v>
      </c>
      <c r="AC10" s="2">
        <v>0</v>
      </c>
      <c r="AD10" s="2">
        <v>72</v>
      </c>
      <c r="AE10" s="2">
        <v>-8</v>
      </c>
      <c r="AF10" s="2">
        <v>72</v>
      </c>
      <c r="AG10" s="2">
        <f t="shared" si="0"/>
        <v>4028</v>
      </c>
      <c r="AH10">
        <f t="shared" si="1"/>
        <v>4028</v>
      </c>
    </row>
    <row r="11" spans="2:37" x14ac:dyDescent="0.3">
      <c r="B11" s="3" t="s">
        <v>5</v>
      </c>
      <c r="C11" s="2">
        <v>350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f t="shared" si="0"/>
        <v>350</v>
      </c>
      <c r="AH11">
        <f t="shared" si="1"/>
        <v>350</v>
      </c>
    </row>
    <row r="12" spans="2:37" x14ac:dyDescent="0.3">
      <c r="B12" s="3" t="s">
        <v>6</v>
      </c>
      <c r="C12" s="2">
        <v>1800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4</v>
      </c>
      <c r="AF12" s="2">
        <v>0</v>
      </c>
      <c r="AG12" s="2">
        <f t="shared" si="0"/>
        <v>1804</v>
      </c>
      <c r="AH12">
        <f t="shared" si="1"/>
        <v>1804</v>
      </c>
    </row>
    <row r="13" spans="2:37" x14ac:dyDescent="0.3">
      <c r="B13" s="3" t="s">
        <v>7</v>
      </c>
      <c r="C13" s="2">
        <f>1880-46</f>
        <v>1834</v>
      </c>
      <c r="D13" s="2">
        <v>60</v>
      </c>
      <c r="E13" s="2">
        <v>60</v>
      </c>
      <c r="F13" s="2">
        <v>54</v>
      </c>
      <c r="G13" s="2">
        <v>60</v>
      </c>
      <c r="H13" s="2">
        <v>60</v>
      </c>
      <c r="I13" s="2">
        <v>60</v>
      </c>
      <c r="J13" s="2">
        <v>60</v>
      </c>
      <c r="K13" s="2">
        <v>60</v>
      </c>
      <c r="L13" s="2">
        <v>60</v>
      </c>
      <c r="M13" s="2">
        <v>60</v>
      </c>
      <c r="N13" s="2">
        <v>60</v>
      </c>
      <c r="O13" s="2">
        <v>60</v>
      </c>
      <c r="P13" s="2">
        <v>60</v>
      </c>
      <c r="Q13" s="2">
        <v>60</v>
      </c>
      <c r="R13" s="2">
        <v>60</v>
      </c>
      <c r="S13" s="2">
        <v>60</v>
      </c>
      <c r="T13" s="2">
        <v>60</v>
      </c>
      <c r="U13" s="2">
        <v>60</v>
      </c>
      <c r="V13" s="2">
        <v>60</v>
      </c>
      <c r="W13" s="2">
        <v>0</v>
      </c>
      <c r="X13" s="2">
        <v>60</v>
      </c>
      <c r="Y13" s="2">
        <v>60</v>
      </c>
      <c r="Z13" s="2">
        <v>60</v>
      </c>
      <c r="AA13" s="2">
        <v>60</v>
      </c>
      <c r="AB13" s="2">
        <v>60</v>
      </c>
      <c r="AC13" s="2">
        <v>180</v>
      </c>
      <c r="AD13" s="2">
        <v>60</v>
      </c>
      <c r="AE13" s="2">
        <v>-120</v>
      </c>
      <c r="AF13" s="2">
        <v>60</v>
      </c>
      <c r="AG13" s="2">
        <f t="shared" si="0"/>
        <v>340</v>
      </c>
      <c r="AH13">
        <f t="shared" si="1"/>
        <v>520</v>
      </c>
    </row>
    <row r="14" spans="2:37" x14ac:dyDescent="0.3">
      <c r="B14" s="3" t="s">
        <v>8</v>
      </c>
      <c r="C14" s="2">
        <v>190</v>
      </c>
      <c r="D14" s="2">
        <v>4</v>
      </c>
      <c r="E14" s="2">
        <v>0</v>
      </c>
      <c r="F14" s="2">
        <v>4</v>
      </c>
      <c r="G14" s="2">
        <v>0</v>
      </c>
      <c r="H14" s="2">
        <v>4</v>
      </c>
      <c r="I14" s="2">
        <v>0</v>
      </c>
      <c r="J14" s="2">
        <v>0</v>
      </c>
      <c r="K14" s="2">
        <v>20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8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-70</v>
      </c>
      <c r="AF14" s="2">
        <v>0</v>
      </c>
      <c r="AG14" s="2">
        <f t="shared" si="0"/>
        <v>80</v>
      </c>
      <c r="AH14">
        <f t="shared" si="1"/>
        <v>80</v>
      </c>
    </row>
  </sheetData>
  <mergeCells count="1">
    <mergeCell ref="B4:AG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D23F-600D-44E6-834B-F3D31A2B4A17}">
  <dimension ref="B4:E9"/>
  <sheetViews>
    <sheetView topLeftCell="A2" workbookViewId="0">
      <selection activeCell="F17" sqref="F17"/>
    </sheetView>
  </sheetViews>
  <sheetFormatPr baseColWidth="10" defaultRowHeight="14.4" x14ac:dyDescent="0.3"/>
  <cols>
    <col min="2" max="2" width="11.5546875" customWidth="1"/>
  </cols>
  <sheetData>
    <row r="4" spans="2:5" x14ac:dyDescent="0.3">
      <c r="B4" s="79" t="s">
        <v>17</v>
      </c>
      <c r="C4" s="79"/>
      <c r="D4" s="79"/>
      <c r="E4" s="79"/>
    </row>
    <row r="6" spans="2:5" x14ac:dyDescent="0.3">
      <c r="B6" s="2" t="s">
        <v>16</v>
      </c>
      <c r="C6" s="2" t="s">
        <v>14</v>
      </c>
      <c r="D6" s="2" t="s">
        <v>28</v>
      </c>
      <c r="E6" s="2" t="s">
        <v>15</v>
      </c>
    </row>
    <row r="7" spans="2:5" x14ac:dyDescent="0.3">
      <c r="B7" s="2" t="s">
        <v>11</v>
      </c>
      <c r="C7" s="2">
        <v>1</v>
      </c>
      <c r="D7" s="2">
        <v>2</v>
      </c>
      <c r="E7" s="2">
        <v>1</v>
      </c>
    </row>
    <row r="8" spans="2:5" x14ac:dyDescent="0.3">
      <c r="B8" s="2" t="s">
        <v>12</v>
      </c>
      <c r="C8" s="2">
        <v>0</v>
      </c>
      <c r="D8" s="2">
        <v>1</v>
      </c>
      <c r="E8" s="2">
        <v>7</v>
      </c>
    </row>
    <row r="9" spans="2:5" x14ac:dyDescent="0.3">
      <c r="B9" s="2" t="s">
        <v>13</v>
      </c>
      <c r="C9" s="2">
        <v>0</v>
      </c>
      <c r="D9" s="2">
        <v>1</v>
      </c>
      <c r="E9" s="2">
        <v>4</v>
      </c>
    </row>
  </sheetData>
  <mergeCells count="1">
    <mergeCell ref="B4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A3E2-F429-40A9-984A-C690F6F73EB0}">
  <dimension ref="C3:H70"/>
  <sheetViews>
    <sheetView workbookViewId="0">
      <selection activeCell="D23" sqref="D23"/>
    </sheetView>
  </sheetViews>
  <sheetFormatPr baseColWidth="10" defaultRowHeight="14.4" x14ac:dyDescent="0.3"/>
  <cols>
    <col min="3" max="3" width="23.6640625" bestFit="1" customWidth="1"/>
    <col min="5" max="5" width="15.77734375" bestFit="1" customWidth="1"/>
  </cols>
  <sheetData>
    <row r="3" spans="3:8" ht="15" thickBot="1" x14ac:dyDescent="0.35"/>
    <row r="4" spans="3:8" ht="15" thickBot="1" x14ac:dyDescent="0.35">
      <c r="C4" s="80" t="s">
        <v>19</v>
      </c>
      <c r="D4" s="81"/>
      <c r="E4" s="82"/>
    </row>
    <row r="5" spans="3:8" ht="15" thickBot="1" x14ac:dyDescent="0.35"/>
    <row r="6" spans="3:8" ht="15" thickBot="1" x14ac:dyDescent="0.35">
      <c r="C6" s="4" t="s">
        <v>20</v>
      </c>
      <c r="D6" s="24">
        <v>21449</v>
      </c>
    </row>
    <row r="7" spans="3:8" x14ac:dyDescent="0.3">
      <c r="C7" s="20"/>
      <c r="D7" s="21"/>
    </row>
    <row r="8" spans="3:8" ht="15" thickBot="1" x14ac:dyDescent="0.35">
      <c r="C8" s="20"/>
      <c r="D8" s="21"/>
    </row>
    <row r="9" spans="3:8" ht="15" thickBot="1" x14ac:dyDescent="0.35">
      <c r="C9" s="22" t="s">
        <v>23</v>
      </c>
      <c r="D9" s="23">
        <f>+D70</f>
        <v>5067</v>
      </c>
    </row>
    <row r="10" spans="3:8" x14ac:dyDescent="0.3">
      <c r="C10" s="20"/>
      <c r="D10" s="21"/>
    </row>
    <row r="11" spans="3:8" ht="15" thickBot="1" x14ac:dyDescent="0.35"/>
    <row r="12" spans="3:8" ht="15" thickBot="1" x14ac:dyDescent="0.35">
      <c r="C12" s="5" t="s">
        <v>21</v>
      </c>
      <c r="D12" s="6" t="s">
        <v>22</v>
      </c>
      <c r="E12" s="7" t="s">
        <v>23</v>
      </c>
    </row>
    <row r="13" spans="3:8" x14ac:dyDescent="0.3">
      <c r="C13" s="40">
        <v>46174</v>
      </c>
      <c r="D13" s="8">
        <v>3000</v>
      </c>
      <c r="E13" s="9">
        <f>D6-D13</f>
        <v>18449</v>
      </c>
      <c r="H13" s="47">
        <f>+D9-8067</f>
        <v>-3000</v>
      </c>
    </row>
    <row r="14" spans="3:8" x14ac:dyDescent="0.3">
      <c r="C14" s="14">
        <v>46175</v>
      </c>
      <c r="D14" s="11">
        <v>413</v>
      </c>
      <c r="E14" s="12">
        <f>+E13-D14</f>
        <v>18036</v>
      </c>
    </row>
    <row r="15" spans="3:8" x14ac:dyDescent="0.3">
      <c r="C15" s="14">
        <v>46175</v>
      </c>
      <c r="D15" s="11">
        <v>60</v>
      </c>
      <c r="E15" s="12">
        <f t="shared" ref="E15:E55" si="0">+E14-D15</f>
        <v>17976</v>
      </c>
    </row>
    <row r="16" spans="3:8" x14ac:dyDescent="0.3">
      <c r="C16" s="14">
        <v>46178</v>
      </c>
      <c r="D16" s="11">
        <v>2050</v>
      </c>
      <c r="E16" s="12">
        <f t="shared" si="0"/>
        <v>15926</v>
      </c>
    </row>
    <row r="17" spans="3:5" x14ac:dyDescent="0.3">
      <c r="C17" s="14">
        <v>46181</v>
      </c>
      <c r="D17" s="11">
        <v>2046</v>
      </c>
      <c r="E17" s="12">
        <f t="shared" si="0"/>
        <v>13880</v>
      </c>
    </row>
    <row r="18" spans="3:5" x14ac:dyDescent="0.3">
      <c r="C18" s="14">
        <v>46186</v>
      </c>
      <c r="D18" s="11">
        <v>1000</v>
      </c>
      <c r="E18" s="12">
        <f t="shared" si="0"/>
        <v>12880</v>
      </c>
    </row>
    <row r="19" spans="3:5" x14ac:dyDescent="0.3">
      <c r="C19" s="14">
        <v>46188</v>
      </c>
      <c r="D19" s="11">
        <v>1000</v>
      </c>
      <c r="E19" s="12">
        <f t="shared" si="0"/>
        <v>11880</v>
      </c>
    </row>
    <row r="20" spans="3:5" x14ac:dyDescent="0.3">
      <c r="C20" s="14">
        <v>46192</v>
      </c>
      <c r="D20" s="11">
        <v>3813</v>
      </c>
      <c r="E20" s="12">
        <f t="shared" si="0"/>
        <v>8067</v>
      </c>
    </row>
    <row r="21" spans="3:5" x14ac:dyDescent="0.3">
      <c r="C21" s="14">
        <v>46194</v>
      </c>
      <c r="D21" s="11">
        <v>1000</v>
      </c>
      <c r="E21" s="12">
        <f t="shared" si="0"/>
        <v>7067</v>
      </c>
    </row>
    <row r="22" spans="3:5" x14ac:dyDescent="0.3">
      <c r="C22" s="14">
        <v>46196</v>
      </c>
      <c r="D22" s="11">
        <v>2000</v>
      </c>
      <c r="E22" s="12">
        <f t="shared" si="0"/>
        <v>5067</v>
      </c>
    </row>
    <row r="23" spans="3:5" x14ac:dyDescent="0.3">
      <c r="C23" s="10"/>
      <c r="D23" s="11"/>
      <c r="E23" s="12">
        <f t="shared" si="0"/>
        <v>5067</v>
      </c>
    </row>
    <row r="24" spans="3:5" x14ac:dyDescent="0.3">
      <c r="C24" s="10"/>
      <c r="D24" s="11"/>
      <c r="E24" s="12">
        <f t="shared" si="0"/>
        <v>5067</v>
      </c>
    </row>
    <row r="25" spans="3:5" x14ac:dyDescent="0.3">
      <c r="C25" s="10"/>
      <c r="D25" s="11"/>
      <c r="E25" s="12">
        <f t="shared" si="0"/>
        <v>5067</v>
      </c>
    </row>
    <row r="26" spans="3:5" x14ac:dyDescent="0.3">
      <c r="C26" s="10"/>
      <c r="D26" s="11"/>
      <c r="E26" s="12">
        <f t="shared" si="0"/>
        <v>5067</v>
      </c>
    </row>
    <row r="27" spans="3:5" x14ac:dyDescent="0.3">
      <c r="C27" s="10"/>
      <c r="D27" s="11"/>
      <c r="E27" s="12">
        <f t="shared" si="0"/>
        <v>5067</v>
      </c>
    </row>
    <row r="28" spans="3:5" x14ac:dyDescent="0.3">
      <c r="C28" s="10"/>
      <c r="D28" s="11"/>
      <c r="E28" s="12">
        <f t="shared" si="0"/>
        <v>5067</v>
      </c>
    </row>
    <row r="29" spans="3:5" x14ac:dyDescent="0.3">
      <c r="C29" s="10"/>
      <c r="D29" s="11"/>
      <c r="E29" s="12">
        <f t="shared" si="0"/>
        <v>5067</v>
      </c>
    </row>
    <row r="30" spans="3:5" x14ac:dyDescent="0.3">
      <c r="C30" s="10"/>
      <c r="D30" s="11"/>
      <c r="E30" s="12">
        <f t="shared" si="0"/>
        <v>5067</v>
      </c>
    </row>
    <row r="31" spans="3:5" x14ac:dyDescent="0.3">
      <c r="C31" s="10"/>
      <c r="D31" s="11"/>
      <c r="E31" s="13">
        <f t="shared" si="0"/>
        <v>5067</v>
      </c>
    </row>
    <row r="32" spans="3:5" x14ac:dyDescent="0.3">
      <c r="C32" s="10"/>
      <c r="D32" s="11"/>
      <c r="E32" s="13">
        <f t="shared" si="0"/>
        <v>5067</v>
      </c>
    </row>
    <row r="33" spans="3:5" x14ac:dyDescent="0.3">
      <c r="C33" s="10"/>
      <c r="D33" s="11"/>
      <c r="E33" s="13">
        <f t="shared" si="0"/>
        <v>5067</v>
      </c>
    </row>
    <row r="34" spans="3:5" x14ac:dyDescent="0.3">
      <c r="C34" s="10"/>
      <c r="D34" s="11"/>
      <c r="E34" s="13">
        <f t="shared" si="0"/>
        <v>5067</v>
      </c>
    </row>
    <row r="35" spans="3:5" x14ac:dyDescent="0.3">
      <c r="C35" s="10"/>
      <c r="D35" s="11"/>
      <c r="E35" s="13">
        <f t="shared" si="0"/>
        <v>5067</v>
      </c>
    </row>
    <row r="36" spans="3:5" x14ac:dyDescent="0.3">
      <c r="C36" s="10"/>
      <c r="D36" s="11"/>
      <c r="E36" s="13">
        <f t="shared" si="0"/>
        <v>5067</v>
      </c>
    </row>
    <row r="37" spans="3:5" x14ac:dyDescent="0.3">
      <c r="C37" s="10"/>
      <c r="D37" s="11"/>
      <c r="E37" s="13">
        <f t="shared" si="0"/>
        <v>5067</v>
      </c>
    </row>
    <row r="38" spans="3:5" x14ac:dyDescent="0.3">
      <c r="C38" s="10"/>
      <c r="D38" s="11"/>
      <c r="E38" s="13">
        <f t="shared" si="0"/>
        <v>5067</v>
      </c>
    </row>
    <row r="39" spans="3:5" x14ac:dyDescent="0.3">
      <c r="C39" s="10"/>
      <c r="D39" s="11"/>
      <c r="E39" s="13">
        <f t="shared" si="0"/>
        <v>5067</v>
      </c>
    </row>
    <row r="40" spans="3:5" x14ac:dyDescent="0.3">
      <c r="C40" s="14"/>
      <c r="D40" s="11"/>
      <c r="E40" s="13">
        <f t="shared" si="0"/>
        <v>5067</v>
      </c>
    </row>
    <row r="41" spans="3:5" x14ac:dyDescent="0.3">
      <c r="C41" s="14"/>
      <c r="D41" s="11"/>
      <c r="E41" s="13">
        <f t="shared" si="0"/>
        <v>5067</v>
      </c>
    </row>
    <row r="42" spans="3:5" x14ac:dyDescent="0.3">
      <c r="C42" s="14"/>
      <c r="D42" s="11"/>
      <c r="E42" s="13">
        <f t="shared" si="0"/>
        <v>5067</v>
      </c>
    </row>
    <row r="43" spans="3:5" x14ac:dyDescent="0.3">
      <c r="C43" s="14"/>
      <c r="D43" s="11"/>
      <c r="E43" s="13">
        <f t="shared" si="0"/>
        <v>5067</v>
      </c>
    </row>
    <row r="44" spans="3:5" x14ac:dyDescent="0.3">
      <c r="C44" s="14"/>
      <c r="D44" s="11"/>
      <c r="E44" s="13">
        <f t="shared" si="0"/>
        <v>5067</v>
      </c>
    </row>
    <row r="45" spans="3:5" x14ac:dyDescent="0.3">
      <c r="C45" s="14"/>
      <c r="D45" s="11"/>
      <c r="E45" s="13">
        <f t="shared" si="0"/>
        <v>5067</v>
      </c>
    </row>
    <row r="46" spans="3:5" x14ac:dyDescent="0.3">
      <c r="C46" s="14"/>
      <c r="D46" s="11"/>
      <c r="E46" s="13">
        <f t="shared" si="0"/>
        <v>5067</v>
      </c>
    </row>
    <row r="47" spans="3:5" x14ac:dyDescent="0.3">
      <c r="C47" s="14"/>
      <c r="D47" s="11"/>
      <c r="E47" s="13">
        <f t="shared" si="0"/>
        <v>5067</v>
      </c>
    </row>
    <row r="48" spans="3:5" x14ac:dyDescent="0.3">
      <c r="C48" s="14"/>
      <c r="D48" s="11"/>
      <c r="E48" s="13">
        <f t="shared" si="0"/>
        <v>5067</v>
      </c>
    </row>
    <row r="49" spans="3:5" x14ac:dyDescent="0.3">
      <c r="C49" s="14"/>
      <c r="D49" s="11"/>
      <c r="E49" s="13">
        <f t="shared" si="0"/>
        <v>5067</v>
      </c>
    </row>
    <row r="50" spans="3:5" x14ac:dyDescent="0.3">
      <c r="C50" s="14"/>
      <c r="D50" s="11"/>
      <c r="E50" s="13">
        <f t="shared" si="0"/>
        <v>5067</v>
      </c>
    </row>
    <row r="51" spans="3:5" x14ac:dyDescent="0.3">
      <c r="C51" s="14"/>
      <c r="D51" s="11"/>
      <c r="E51" s="13">
        <f t="shared" si="0"/>
        <v>5067</v>
      </c>
    </row>
    <row r="52" spans="3:5" x14ac:dyDescent="0.3">
      <c r="C52" s="14"/>
      <c r="D52" s="11"/>
      <c r="E52" s="13">
        <f t="shared" si="0"/>
        <v>5067</v>
      </c>
    </row>
    <row r="53" spans="3:5" x14ac:dyDescent="0.3">
      <c r="C53" s="14"/>
      <c r="D53" s="11"/>
      <c r="E53" s="13">
        <f t="shared" si="0"/>
        <v>5067</v>
      </c>
    </row>
    <row r="54" spans="3:5" x14ac:dyDescent="0.3">
      <c r="C54" s="14"/>
      <c r="D54" s="11"/>
      <c r="E54" s="13">
        <f t="shared" si="0"/>
        <v>5067</v>
      </c>
    </row>
    <row r="55" spans="3:5" x14ac:dyDescent="0.3">
      <c r="C55" s="14"/>
      <c r="D55" s="11"/>
      <c r="E55" s="13">
        <f t="shared" si="0"/>
        <v>5067</v>
      </c>
    </row>
    <row r="56" spans="3:5" x14ac:dyDescent="0.3">
      <c r="C56" s="14"/>
      <c r="D56" s="11"/>
      <c r="E56" s="13">
        <f>+E55+D56</f>
        <v>5067</v>
      </c>
    </row>
    <row r="57" spans="3:5" x14ac:dyDescent="0.3">
      <c r="C57" s="14"/>
      <c r="D57" s="15"/>
      <c r="E57" s="13">
        <f>+E56-D57</f>
        <v>5067</v>
      </c>
    </row>
    <row r="58" spans="3:5" x14ac:dyDescent="0.3">
      <c r="C58" s="14"/>
      <c r="D58" s="11"/>
      <c r="E58" s="13">
        <f>+E57-D58</f>
        <v>5067</v>
      </c>
    </row>
    <row r="59" spans="3:5" x14ac:dyDescent="0.3">
      <c r="C59" s="10"/>
      <c r="D59" s="11"/>
      <c r="E59" s="13">
        <f t="shared" ref="E59:E68" si="1">+E58-D59</f>
        <v>5067</v>
      </c>
    </row>
    <row r="60" spans="3:5" x14ac:dyDescent="0.3">
      <c r="C60" s="10"/>
      <c r="D60" s="11"/>
      <c r="E60" s="13">
        <f t="shared" si="1"/>
        <v>5067</v>
      </c>
    </row>
    <row r="61" spans="3:5" x14ac:dyDescent="0.3">
      <c r="C61" s="10"/>
      <c r="D61" s="11"/>
      <c r="E61" s="13">
        <f t="shared" si="1"/>
        <v>5067</v>
      </c>
    </row>
    <row r="62" spans="3:5" x14ac:dyDescent="0.3">
      <c r="C62" s="10"/>
      <c r="D62" s="11"/>
      <c r="E62" s="13">
        <f t="shared" si="1"/>
        <v>5067</v>
      </c>
    </row>
    <row r="63" spans="3:5" x14ac:dyDescent="0.3">
      <c r="C63" s="10"/>
      <c r="D63" s="11"/>
      <c r="E63" s="13">
        <f t="shared" si="1"/>
        <v>5067</v>
      </c>
    </row>
    <row r="64" spans="3:5" x14ac:dyDescent="0.3">
      <c r="C64" s="10"/>
      <c r="D64" s="11"/>
      <c r="E64" s="13">
        <f t="shared" si="1"/>
        <v>5067</v>
      </c>
    </row>
    <row r="65" spans="3:5" x14ac:dyDescent="0.3">
      <c r="C65" s="10"/>
      <c r="D65" s="11"/>
      <c r="E65" s="13">
        <f t="shared" si="1"/>
        <v>5067</v>
      </c>
    </row>
    <row r="66" spans="3:5" x14ac:dyDescent="0.3">
      <c r="C66" s="10"/>
      <c r="D66" s="11"/>
      <c r="E66" s="13">
        <f t="shared" si="1"/>
        <v>5067</v>
      </c>
    </row>
    <row r="67" spans="3:5" x14ac:dyDescent="0.3">
      <c r="C67" s="10"/>
      <c r="D67" s="11"/>
      <c r="E67" s="13">
        <f t="shared" si="1"/>
        <v>5067</v>
      </c>
    </row>
    <row r="68" spans="3:5" x14ac:dyDescent="0.3">
      <c r="C68" s="10"/>
      <c r="D68" s="11"/>
      <c r="E68" s="13">
        <f t="shared" si="1"/>
        <v>5067</v>
      </c>
    </row>
    <row r="69" spans="3:5" ht="15" thickBot="1" x14ac:dyDescent="0.35">
      <c r="C69" s="16" t="s">
        <v>24</v>
      </c>
      <c r="D69" s="17">
        <f>SUM(D13:D58)</f>
        <v>16382</v>
      </c>
      <c r="E69" s="1"/>
    </row>
    <row r="70" spans="3:5" ht="15" thickBot="1" x14ac:dyDescent="0.35">
      <c r="C70" s="18" t="s">
        <v>25</v>
      </c>
      <c r="D70" s="19">
        <f>+E68</f>
        <v>5067</v>
      </c>
      <c r="E70" s="1"/>
    </row>
  </sheetData>
  <mergeCells count="1"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D15B-641B-4CED-8D93-58C054B5A031}">
  <dimension ref="B1:D14"/>
  <sheetViews>
    <sheetView showGridLines="0" topLeftCell="A9" workbookViewId="0">
      <selection sqref="A1:E14"/>
    </sheetView>
  </sheetViews>
  <sheetFormatPr baseColWidth="10" defaultRowHeight="14.4" x14ac:dyDescent="0.3"/>
  <cols>
    <col min="2" max="2" width="31.21875" bestFit="1" customWidth="1"/>
    <col min="3" max="3" width="43.44140625" customWidth="1"/>
    <col min="4" max="4" width="42" customWidth="1"/>
  </cols>
  <sheetData>
    <row r="1" spans="2:4" x14ac:dyDescent="0.3">
      <c r="B1" s="50"/>
      <c r="C1" s="50"/>
      <c r="D1" s="50"/>
    </row>
    <row r="2" spans="2:4" x14ac:dyDescent="0.3">
      <c r="B2" s="50"/>
      <c r="C2" s="50"/>
      <c r="D2" s="50"/>
    </row>
    <row r="3" spans="2:4" x14ac:dyDescent="0.3">
      <c r="B3" s="50"/>
      <c r="C3" s="50"/>
      <c r="D3" s="50"/>
    </row>
    <row r="4" spans="2:4" x14ac:dyDescent="0.3">
      <c r="B4" s="50"/>
      <c r="C4" s="50"/>
      <c r="D4" s="50"/>
    </row>
    <row r="5" spans="2:4" x14ac:dyDescent="0.3">
      <c r="B5" s="50"/>
      <c r="C5" s="50"/>
      <c r="D5" s="50"/>
    </row>
    <row r="6" spans="2:4" ht="15" thickBot="1" x14ac:dyDescent="0.35">
      <c r="B6" s="50"/>
      <c r="C6" s="50"/>
      <c r="D6" s="50"/>
    </row>
    <row r="7" spans="2:4" ht="15" thickBot="1" x14ac:dyDescent="0.35">
      <c r="B7" s="63" t="s">
        <v>32</v>
      </c>
      <c r="C7" s="64"/>
      <c r="D7" s="65"/>
    </row>
    <row r="8" spans="2:4" ht="15" thickBot="1" x14ac:dyDescent="0.35">
      <c r="B8" s="50"/>
      <c r="C8" s="50"/>
      <c r="D8" s="50"/>
    </row>
    <row r="9" spans="2:4" ht="15" thickBot="1" x14ac:dyDescent="0.35">
      <c r="B9" s="51" t="s">
        <v>29</v>
      </c>
      <c r="C9" s="52" t="s">
        <v>30</v>
      </c>
      <c r="D9" s="53" t="s">
        <v>31</v>
      </c>
    </row>
    <row r="10" spans="2:4" ht="115.8" thickBot="1" x14ac:dyDescent="0.35">
      <c r="B10" s="45" t="s">
        <v>48</v>
      </c>
      <c r="C10" s="46" t="s">
        <v>50</v>
      </c>
      <c r="D10" s="48" t="s">
        <v>68</v>
      </c>
    </row>
    <row r="11" spans="2:4" ht="29.4" thickBot="1" x14ac:dyDescent="0.35">
      <c r="B11" s="58" t="s">
        <v>74</v>
      </c>
      <c r="C11" s="56" t="s">
        <v>75</v>
      </c>
      <c r="D11" s="57" t="s">
        <v>80</v>
      </c>
    </row>
    <row r="12" spans="2:4" ht="72" x14ac:dyDescent="0.3">
      <c r="B12" s="45" t="s">
        <v>49</v>
      </c>
      <c r="C12" s="46" t="s">
        <v>59</v>
      </c>
      <c r="D12" s="48" t="s">
        <v>81</v>
      </c>
    </row>
    <row r="13" spans="2:4" ht="46.2" customHeight="1" thickBot="1" x14ac:dyDescent="0.35">
      <c r="B13" s="54" t="s">
        <v>40</v>
      </c>
      <c r="C13" s="55" t="s">
        <v>41</v>
      </c>
      <c r="D13" s="49" t="s">
        <v>73</v>
      </c>
    </row>
    <row r="14" spans="2:4" x14ac:dyDescent="0.3">
      <c r="B14" s="50"/>
      <c r="C14" s="50"/>
      <c r="D14" s="50"/>
    </row>
  </sheetData>
  <mergeCells count="1"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quimicos</vt:lpstr>
      <vt:lpstr>gases</vt:lpstr>
      <vt:lpstr>combustible</vt:lpstr>
      <vt:lpstr>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Usuario03</dc:creator>
  <cp:lastModifiedBy>Usuario03</cp:lastModifiedBy>
  <dcterms:created xsi:type="dcterms:W3CDTF">2026-05-26T23:12:14Z</dcterms:created>
  <dcterms:modified xsi:type="dcterms:W3CDTF">2026-06-24T01:36:37Z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2026-05-26T23:17:11Z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dddc8414-4a10-4c45-b4a0-d9c3a923e3fa</vt:lpwstr>
  </property>
  <property fmtid="{D5CDD505-2E9C-101B-9397-08002B2CF9AE}" pid="7" name="MSIP_Label_defa4170-0d19-0005-0004-bc88714345d2_ActionId">
    <vt:lpwstr>880381c8-fa3d-4943-81de-709f40ea2614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